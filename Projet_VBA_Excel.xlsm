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c/Documents/"/>
    </mc:Choice>
  </mc:AlternateContent>
  <xr:revisionPtr revIDLastSave="0" documentId="8_{AB6F0103-D715-144C-ADFA-A88C48F4803A}" xr6:coauthVersionLast="36" xr6:coauthVersionMax="36" xr10:uidLastSave="{00000000-0000-0000-0000-000000000000}"/>
  <bookViews>
    <workbookView xWindow="0" yWindow="460" windowWidth="28800" windowHeight="16260" activeTab="7" xr2:uid="{00000000-000D-0000-FFFF-FFFF00000000}"/>
  </bookViews>
  <sheets>
    <sheet name="ZONE A" sheetId="1" r:id="rId1"/>
    <sheet name="ZONE B" sheetId="2" r:id="rId2"/>
    <sheet name="ZONE C" sheetId="3" r:id="rId3"/>
    <sheet name="ZONE D" sheetId="4" r:id="rId4"/>
    <sheet name="ZONE E" sheetId="5" r:id="rId5"/>
    <sheet name="Visualisation des données" sheetId="6" r:id="rId6"/>
    <sheet name="Les informations sur les E_Ses" sheetId="7" r:id="rId7"/>
    <sheet name="Utilisation Solveur" sheetId="8" r:id="rId8"/>
  </sheets>
  <functionGroups builtInGroupCount="19"/>
  <definedNames>
    <definedName name="_xlnm._FilterDatabase" localSheetId="5" hidden="1">'Visualisation des données'!$A$2:$E$21</definedName>
    <definedName name="_xlnm._FilterDatabase" localSheetId="0" hidden="1">'ZONE A'!$A$1:$H$21</definedName>
    <definedName name="_xlnm._FilterDatabase" localSheetId="1" hidden="1">'ZONE B'!$A$1:$H$21</definedName>
    <definedName name="_xlnm._FilterDatabase" localSheetId="2" hidden="1">'ZONE C'!$A$1:$H$21</definedName>
    <definedName name="_xlnm._FilterDatabase" localSheetId="3" hidden="1">'ZONE D'!$A$1:$H$21</definedName>
    <definedName name="_xlnm._FilterDatabase" localSheetId="4" hidden="1">'ZONE E'!$A$1:$H$21</definedName>
    <definedName name="solver_adj" localSheetId="6" hidden="1">'Les informations sur les E_Ses'!$P$37,'Les informations sur les E_Ses'!$Q$37,'Les informations sur les E_Ses'!$O$37,'Les informations sur les E_Ses'!$N$37,'Les informations sur les E_Ses'!$M$37,'Les informations sur les E_Ses'!$L$37,'Les informations sur les E_Ses'!$K$37</definedName>
    <definedName name="solver_adj" localSheetId="7" hidden="1">'Utilisation Solveur'!$E$28,'Utilisation Solveur'!$A$28,'Utilisation Solveur'!$B$28,'Utilisation Solveur'!$C$28,'Utilisation Solveur'!$D$28,'Utilisation Solveur'!$F$28,'Utilisation Solveur'!$G$28</definedName>
    <definedName name="solver_cvg" localSheetId="6" hidden="1">0.0001</definedName>
    <definedName name="solver_cvg" localSheetId="7" hidden="1">0.0001</definedName>
    <definedName name="solver_drv" localSheetId="6" hidden="1">2</definedName>
    <definedName name="solver_drv" localSheetId="7" hidden="1">1</definedName>
    <definedName name="solver_eng" localSheetId="6" hidden="1">1</definedName>
    <definedName name="solver_eng" localSheetId="7" hidden="1">1</definedName>
    <definedName name="solver_est" localSheetId="6" hidden="1">1</definedName>
    <definedName name="solver_est" localSheetId="7" hidden="1">1</definedName>
    <definedName name="solver_itr" localSheetId="6" hidden="1">2147483647</definedName>
    <definedName name="solver_itr" localSheetId="7" hidden="1">2147483647</definedName>
    <definedName name="solver_lin" localSheetId="6" hidden="1">2</definedName>
    <definedName name="solver_lin" localSheetId="7" hidden="1">2</definedName>
    <definedName name="solver_mip" localSheetId="6" hidden="1">2147483647</definedName>
    <definedName name="solver_mip" localSheetId="7" hidden="1">2147483647</definedName>
    <definedName name="solver_mni" localSheetId="6" hidden="1">30</definedName>
    <definedName name="solver_mni" localSheetId="7" hidden="1">30</definedName>
    <definedName name="solver_mrt" localSheetId="6" hidden="1">0.075</definedName>
    <definedName name="solver_mrt" localSheetId="7" hidden="1">0.075</definedName>
    <definedName name="solver_msl" localSheetId="6" hidden="1">2</definedName>
    <definedName name="solver_msl" localSheetId="7" hidden="1">2</definedName>
    <definedName name="solver_neg" localSheetId="6" hidden="1">1</definedName>
    <definedName name="solver_neg" localSheetId="7" hidden="1">1</definedName>
    <definedName name="solver_nod" localSheetId="6" hidden="1">2147483647</definedName>
    <definedName name="solver_nod" localSheetId="7" hidden="1">2147483647</definedName>
    <definedName name="solver_num" localSheetId="6" hidden="1">0</definedName>
    <definedName name="solver_num" localSheetId="7" hidden="1">0</definedName>
    <definedName name="solver_nwt" localSheetId="6" hidden="1">1</definedName>
    <definedName name="solver_nwt" localSheetId="7" hidden="1">1</definedName>
    <definedName name="solver_opt" localSheetId="6" hidden="1">'Les informations sur les E_Ses'!$T$37</definedName>
    <definedName name="solver_opt" localSheetId="7" hidden="1">'Utilisation Solveur'!$H$32</definedName>
    <definedName name="solver_pre" localSheetId="6" hidden="1">0.000001</definedName>
    <definedName name="solver_pre" localSheetId="7" hidden="1">0.000001</definedName>
    <definedName name="solver_rbv" localSheetId="6" hidden="1">2</definedName>
    <definedName name="solver_rbv" localSheetId="7" hidden="1">1</definedName>
    <definedName name="solver_rlx" localSheetId="6" hidden="1">2</definedName>
    <definedName name="solver_rlx" localSheetId="7" hidden="1">2</definedName>
    <definedName name="solver_rsd" localSheetId="6" hidden="1">0</definedName>
    <definedName name="solver_rsd" localSheetId="7" hidden="1">0</definedName>
    <definedName name="solver_scl" localSheetId="6" hidden="1">2</definedName>
    <definedName name="solver_scl" localSheetId="7" hidden="1">1</definedName>
    <definedName name="solver_sho" localSheetId="6" hidden="1">2</definedName>
    <definedName name="solver_sho" localSheetId="7" hidden="1">2</definedName>
    <definedName name="solver_ssz" localSheetId="6" hidden="1">100</definedName>
    <definedName name="solver_ssz" localSheetId="7" hidden="1">100</definedName>
    <definedName name="solver_tim" localSheetId="6" hidden="1">2147483647</definedName>
    <definedName name="solver_tim" localSheetId="7" hidden="1">2147483647</definedName>
    <definedName name="solver_tol" localSheetId="6" hidden="1">0.01</definedName>
    <definedName name="solver_tol" localSheetId="7" hidden="1">0.01</definedName>
    <definedName name="solver_typ" localSheetId="6" hidden="1">3</definedName>
    <definedName name="solver_typ" localSheetId="7" hidden="1">3</definedName>
    <definedName name="solver_val" localSheetId="6" hidden="1">3</definedName>
    <definedName name="solver_val" localSheetId="7" hidden="1">"&gt;=2,99"</definedName>
    <definedName name="solver_ver" localSheetId="6" hidden="1">2</definedName>
    <definedName name="solver_ver" localSheetId="7" hidden="1">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7" i="8" l="1"/>
  <c r="R11" i="8"/>
  <c r="R15" i="8"/>
  <c r="R19" i="8"/>
  <c r="R23" i="8"/>
  <c r="R27" i="8"/>
  <c r="R31" i="8"/>
  <c r="R35" i="8"/>
  <c r="R39" i="8"/>
  <c r="R18" i="8"/>
  <c r="R30" i="8"/>
  <c r="R42" i="8"/>
  <c r="R8" i="8"/>
  <c r="R12" i="8"/>
  <c r="R16" i="8"/>
  <c r="R20" i="8"/>
  <c r="R24" i="8"/>
  <c r="R28" i="8"/>
  <c r="R32" i="8"/>
  <c r="R36" i="8"/>
  <c r="R40" i="8"/>
  <c r="R14" i="8"/>
  <c r="R26" i="8"/>
  <c r="R38" i="8"/>
  <c r="R9" i="8"/>
  <c r="R13" i="8"/>
  <c r="R17" i="8"/>
  <c r="R21" i="8"/>
  <c r="R25" i="8"/>
  <c r="R29" i="8"/>
  <c r="R33" i="8"/>
  <c r="R37" i="8"/>
  <c r="R41" i="8"/>
  <c r="R10" i="8"/>
  <c r="R22" i="8"/>
  <c r="R34" i="8"/>
  <c r="R6" i="8"/>
  <c r="H7" i="8"/>
  <c r="H11" i="8"/>
  <c r="H15" i="8"/>
  <c r="H19" i="8"/>
  <c r="H23" i="8"/>
  <c r="H27" i="8"/>
  <c r="H31" i="8"/>
  <c r="H22" i="8"/>
  <c r="H30" i="8"/>
  <c r="H8" i="8"/>
  <c r="H12" i="8"/>
  <c r="H16" i="8"/>
  <c r="H20" i="8"/>
  <c r="H24" i="8"/>
  <c r="H28" i="8"/>
  <c r="H32" i="8"/>
  <c r="H18" i="8"/>
  <c r="H9" i="8"/>
  <c r="H13" i="8"/>
  <c r="H17" i="8"/>
  <c r="H21" i="8"/>
  <c r="H25" i="8"/>
  <c r="H29" i="8"/>
  <c r="H10" i="8"/>
  <c r="H14" i="8"/>
  <c r="H26" i="8"/>
  <c r="H6" i="8"/>
  <c r="R5" i="7"/>
  <c r="R9" i="7"/>
  <c r="R13" i="7"/>
  <c r="R17" i="7"/>
  <c r="R21" i="7"/>
  <c r="R25" i="7"/>
  <c r="R29" i="7"/>
  <c r="R33" i="7"/>
  <c r="R10" i="7"/>
  <c r="R18" i="7"/>
  <c r="R30" i="7"/>
  <c r="R7" i="7"/>
  <c r="R11" i="7"/>
  <c r="R15" i="7"/>
  <c r="R19" i="7"/>
  <c r="R23" i="7"/>
  <c r="R27" i="7"/>
  <c r="R31" i="7"/>
  <c r="R35" i="7"/>
  <c r="R39" i="7"/>
  <c r="R32" i="7"/>
  <c r="R40" i="7"/>
  <c r="R6" i="7"/>
  <c r="R22" i="7"/>
  <c r="R34" i="7"/>
  <c r="R8" i="7"/>
  <c r="R12" i="7"/>
  <c r="R16" i="7"/>
  <c r="R20" i="7"/>
  <c r="R24" i="7"/>
  <c r="R28" i="7"/>
  <c r="R36" i="7"/>
  <c r="R37" i="7"/>
  <c r="R14" i="7"/>
  <c r="R26" i="7"/>
  <c r="R38" i="7"/>
  <c r="R4" i="7"/>
  <c r="H5" i="7"/>
  <c r="H9" i="7"/>
  <c r="H13" i="7"/>
  <c r="H17" i="7"/>
  <c r="H21" i="7"/>
  <c r="H25" i="7"/>
  <c r="H29" i="7"/>
  <c r="H16" i="7"/>
  <c r="H6" i="7"/>
  <c r="H10" i="7"/>
  <c r="H14" i="7"/>
  <c r="H18" i="7"/>
  <c r="H22" i="7"/>
  <c r="H26" i="7"/>
  <c r="H30" i="7"/>
  <c r="H20" i="7"/>
  <c r="H28" i="7"/>
  <c r="H7" i="7"/>
  <c r="H11" i="7"/>
  <c r="H15" i="7"/>
  <c r="H19" i="7"/>
  <c r="H23" i="7"/>
  <c r="H27" i="7"/>
  <c r="H8" i="7"/>
  <c r="H12" i="7"/>
  <c r="H24" i="7"/>
  <c r="H4" i="7"/>
  <c r="E3" i="6"/>
  <c r="E7" i="6"/>
  <c r="E11" i="6"/>
  <c r="E15" i="6"/>
  <c r="E19" i="6"/>
  <c r="E14" i="6"/>
  <c r="E4" i="6"/>
  <c r="E8" i="6"/>
  <c r="E12" i="6"/>
  <c r="E16" i="6"/>
  <c r="E20" i="6"/>
  <c r="E10" i="6"/>
  <c r="E5" i="6"/>
  <c r="E9" i="6"/>
  <c r="E13" i="6"/>
  <c r="E17" i="6"/>
  <c r="E21" i="6"/>
  <c r="E6" i="6"/>
  <c r="E18" i="6"/>
  <c r="E2" i="6"/>
  <c r="D3" i="6"/>
  <c r="D7" i="6"/>
  <c r="D11" i="6"/>
  <c r="D15" i="6"/>
  <c r="D19" i="6"/>
  <c r="D14" i="6"/>
  <c r="D4" i="6"/>
  <c r="D8" i="6"/>
  <c r="D12" i="6"/>
  <c r="D16" i="6"/>
  <c r="D20" i="6"/>
  <c r="D10" i="6"/>
  <c r="D5" i="6"/>
  <c r="D9" i="6"/>
  <c r="D13" i="6"/>
  <c r="D17" i="6"/>
  <c r="D21" i="6"/>
  <c r="D6" i="6"/>
  <c r="D18" i="6"/>
  <c r="D2" i="6"/>
  <c r="C3" i="6"/>
  <c r="C7" i="6"/>
  <c r="C11" i="6"/>
  <c r="C15" i="6"/>
  <c r="C19" i="6"/>
  <c r="C14" i="6"/>
  <c r="C4" i="6"/>
  <c r="C8" i="6"/>
  <c r="C12" i="6"/>
  <c r="C16" i="6"/>
  <c r="C20" i="6"/>
  <c r="C10" i="6"/>
  <c r="C5" i="6"/>
  <c r="C9" i="6"/>
  <c r="C13" i="6"/>
  <c r="C17" i="6"/>
  <c r="C21" i="6"/>
  <c r="C6" i="6"/>
  <c r="C18" i="6"/>
  <c r="C2" i="6"/>
  <c r="B3" i="6"/>
  <c r="B7" i="6"/>
  <c r="B11" i="6"/>
  <c r="B15" i="6"/>
  <c r="B19" i="6"/>
  <c r="B14" i="6"/>
  <c r="B4" i="6"/>
  <c r="B8" i="6"/>
  <c r="B12" i="6"/>
  <c r="B16" i="6"/>
  <c r="B20" i="6"/>
  <c r="B10" i="6"/>
  <c r="B5" i="6"/>
  <c r="B9" i="6"/>
  <c r="B13" i="6"/>
  <c r="B17" i="6"/>
  <c r="B21" i="6"/>
  <c r="B6" i="6"/>
  <c r="B18" i="6"/>
  <c r="B2" i="6"/>
  <c r="A3" i="6"/>
  <c r="A7" i="6"/>
  <c r="A11" i="6"/>
  <c r="A15" i="6"/>
  <c r="A19" i="6"/>
  <c r="A14" i="6"/>
  <c r="A4" i="6"/>
  <c r="A8" i="6"/>
  <c r="A12" i="6"/>
  <c r="A16" i="6"/>
  <c r="A20" i="6"/>
  <c r="A10" i="6"/>
  <c r="A5" i="6"/>
  <c r="A9" i="6"/>
  <c r="A13" i="6"/>
  <c r="A17" i="6"/>
  <c r="A21" i="6"/>
  <c r="A6" i="6"/>
  <c r="A18" i="6"/>
  <c r="A2" i="6"/>
  <c r="H3" i="5"/>
  <c r="H7" i="5"/>
  <c r="H11" i="5"/>
  <c r="H15" i="5"/>
  <c r="H19" i="5"/>
  <c r="H16" i="5"/>
  <c r="H5" i="5"/>
  <c r="H13" i="5"/>
  <c r="H21" i="5"/>
  <c r="H6" i="5"/>
  <c r="H10" i="5"/>
  <c r="H14" i="5"/>
  <c r="H18" i="5"/>
  <c r="H4" i="5"/>
  <c r="H8" i="5"/>
  <c r="H12" i="5"/>
  <c r="H20" i="5"/>
  <c r="H9" i="5"/>
  <c r="H17" i="5"/>
  <c r="H2" i="5"/>
  <c r="H4" i="4"/>
  <c r="H8" i="4"/>
  <c r="H12" i="4"/>
  <c r="H16" i="4"/>
  <c r="H20" i="4"/>
  <c r="H6" i="4"/>
  <c r="H14" i="4"/>
  <c r="H3" i="4"/>
  <c r="H11" i="4"/>
  <c r="H19" i="4"/>
  <c r="H5" i="4"/>
  <c r="H9" i="4"/>
  <c r="H13" i="4"/>
  <c r="H17" i="4"/>
  <c r="H21" i="4"/>
  <c r="H10" i="4"/>
  <c r="H18" i="4"/>
  <c r="H7" i="4"/>
  <c r="H15" i="4"/>
  <c r="H2" i="4"/>
  <c r="H3" i="3"/>
  <c r="H7" i="3"/>
  <c r="H11" i="3"/>
  <c r="H15" i="3"/>
  <c r="H19" i="3"/>
  <c r="H4" i="3"/>
  <c r="H8" i="3"/>
  <c r="H12" i="3"/>
  <c r="H16" i="3"/>
  <c r="H20" i="3"/>
  <c r="H5" i="3"/>
  <c r="H9" i="3"/>
  <c r="H17" i="3"/>
  <c r="H21" i="3"/>
  <c r="H6" i="3"/>
  <c r="H14" i="3"/>
  <c r="H13" i="3"/>
  <c r="H10" i="3"/>
  <c r="H18" i="3"/>
  <c r="H2" i="3"/>
  <c r="H3" i="2"/>
  <c r="H7" i="2"/>
  <c r="H11" i="2"/>
  <c r="H15" i="2"/>
  <c r="H19" i="2"/>
  <c r="H14" i="2"/>
  <c r="H4" i="2"/>
  <c r="H8" i="2"/>
  <c r="H12" i="2"/>
  <c r="H16" i="2"/>
  <c r="H20" i="2"/>
  <c r="H10" i="2"/>
  <c r="H5" i="2"/>
  <c r="H9" i="2"/>
  <c r="H13" i="2"/>
  <c r="H17" i="2"/>
  <c r="H21" i="2"/>
  <c r="H6" i="2"/>
  <c r="H18" i="2"/>
  <c r="H2" i="2"/>
  <c r="H3" i="1"/>
  <c r="H7" i="1"/>
  <c r="H11" i="1"/>
  <c r="H15" i="1"/>
  <c r="H19" i="1"/>
  <c r="H20" i="1"/>
  <c r="H6" i="1"/>
  <c r="H18" i="1"/>
  <c r="H4" i="1"/>
  <c r="H8" i="1"/>
  <c r="H12" i="1"/>
  <c r="H16" i="1"/>
  <c r="H21" i="1"/>
  <c r="H10" i="1"/>
  <c r="H5" i="1"/>
  <c r="H9" i="1"/>
  <c r="H13" i="1"/>
  <c r="H17" i="1"/>
  <c r="H14" i="1"/>
  <c r="H2" i="1"/>
  <c r="K6" i="6" l="1"/>
  <c r="K8" i="6"/>
  <c r="K7" i="6"/>
</calcChain>
</file>

<file path=xl/sharedStrings.xml><?xml version="1.0" encoding="utf-8"?>
<sst xmlns="http://schemas.openxmlformats.org/spreadsheetml/2006/main" count="86" uniqueCount="22">
  <si>
    <t>CC</t>
  </si>
  <si>
    <t>PR</t>
  </si>
  <si>
    <t>TA</t>
  </si>
  <si>
    <t>PFI</t>
  </si>
  <si>
    <t>CB</t>
  </si>
  <si>
    <t>VCP</t>
  </si>
  <si>
    <t>V</t>
  </si>
  <si>
    <t>Zone A</t>
  </si>
  <si>
    <t>Zone B</t>
  </si>
  <si>
    <t>Zone C</t>
  </si>
  <si>
    <t>Zone D</t>
  </si>
  <si>
    <t>Zone E</t>
  </si>
  <si>
    <t>Score Z</t>
  </si>
  <si>
    <t>Rejetés</t>
  </si>
  <si>
    <t>Incertitudes</t>
  </si>
  <si>
    <t>Acceptés</t>
  </si>
  <si>
    <t>Les informations sur les entreprises défaillantes</t>
  </si>
  <si>
    <t xml:space="preserve">Les informations sur les entreprises en zone d'incertitude </t>
  </si>
  <si>
    <t>les entreprises précédemment défaillantes</t>
  </si>
  <si>
    <t>Les entreprises précédemment en zone d'incertitude</t>
  </si>
  <si>
    <t>Nombre de dossiers</t>
  </si>
  <si>
    <t>Les nouvelles valeurs financières pour les entreprises pour atteindre le score 2.99 ou plus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</si>
</sst>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 vertical="center"/>
    </xf>
    <xf numFmtId="0" fontId="2" fillId="2" borderId="0" xfId="0" applyFont="1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/>
    <xf numFmtId="0" fontId="3" fillId="4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1" fillId="6" borderId="0" xfId="0" applyFont="1" applyFill="1" applyAlignment="1">
      <alignment horizontal="center" vertical="center"/>
    </xf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13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3.0555555555555555E-2"/>
          <c:y val="0"/>
          <c:w val="0.78933398950131228"/>
          <c:h val="0.95833333333333337"/>
        </c:manualLayout>
      </c:layout>
      <c:pie3DChart>
        <c:varyColors val="1"/>
        <c:ser>
          <c:idx val="0"/>
          <c:order val="0"/>
          <c:explosion val="56"/>
          <c:dPt>
            <c:idx val="0"/>
            <c:bubble3D val="0"/>
            <c:explosion val="41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FE23-0040-A38E-4FF326DA5F67}"/>
              </c:ext>
            </c:extLst>
          </c:dPt>
          <c:dPt>
            <c:idx val="1"/>
            <c:bubble3D val="0"/>
            <c:explosion val="16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3-FE23-0040-A38E-4FF326DA5F67}"/>
              </c:ext>
            </c:extLst>
          </c:dPt>
          <c:dPt>
            <c:idx val="2"/>
            <c:bubble3D val="0"/>
            <c:explosion val="19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5-FE23-0040-A38E-4FF326DA5F67}"/>
              </c:ext>
            </c:extLst>
          </c:dPt>
          <c:cat>
            <c:strRef>
              <c:f>'Visualisation des données'!$J$6:$J$8</c:f>
              <c:strCache>
                <c:ptCount val="3"/>
                <c:pt idx="0">
                  <c:v>Rejetés</c:v>
                </c:pt>
                <c:pt idx="1">
                  <c:v>Incertitudes</c:v>
                </c:pt>
                <c:pt idx="2">
                  <c:v>Acceptés</c:v>
                </c:pt>
              </c:strCache>
            </c:strRef>
          </c:cat>
          <c:val>
            <c:numRef>
              <c:f>'Visualisation des données'!$K$6:$K$8</c:f>
              <c:numCache>
                <c:formatCode>General</c:formatCode>
                <c:ptCount val="3"/>
                <c:pt idx="0">
                  <c:v>27</c:v>
                </c:pt>
                <c:pt idx="1">
                  <c:v>37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E23-0040-A38E-4FF326DA5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822325</xdr:colOff>
      <xdr:row>0</xdr:row>
      <xdr:rowOff>238125</xdr:rowOff>
    </xdr:from>
    <xdr:to>
      <xdr:col>19</xdr:col>
      <xdr:colOff>822325</xdr:colOff>
      <xdr:row>15</xdr:row>
      <xdr:rowOff>73025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0.29792</cdr:x>
      <cdr:y>0.30556</cdr:y>
    </cdr:from>
    <cdr:to>
      <cdr:x>0.49792</cdr:x>
      <cdr:y>0.63889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1362075" y="83820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fr-FR" sz="1100"/>
            <a:t>37</a:t>
          </a:r>
        </a:p>
      </cdr:txBody>
    </cdr:sp>
  </cdr:relSizeAnchor>
  <cdr:relSizeAnchor xmlns:cdr="http://schemas.openxmlformats.org/drawingml/2006/chartDrawing">
    <cdr:from>
      <cdr:x>0.57083</cdr:x>
      <cdr:y>0.29167</cdr:y>
    </cdr:from>
    <cdr:to>
      <cdr:x>0.77083</cdr:x>
      <cdr:y>0.625</cdr:y>
    </cdr:to>
    <cdr:sp macro="" textlink="">
      <cdr:nvSpPr>
        <cdr:cNvPr id="3" name="ZoneTexte 2"/>
        <cdr:cNvSpPr txBox="1"/>
      </cdr:nvSpPr>
      <cdr:spPr>
        <a:xfrm xmlns:a="http://schemas.openxmlformats.org/drawingml/2006/main">
          <a:off x="2609850" y="80010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fr-FR" sz="1100"/>
            <a:t>36</a:t>
          </a:r>
        </a:p>
      </cdr:txBody>
    </cdr:sp>
  </cdr:relSizeAnchor>
  <cdr:relSizeAnchor xmlns:cdr="http://schemas.openxmlformats.org/drawingml/2006/chartDrawing">
    <cdr:from>
      <cdr:x>0.41667</cdr:x>
      <cdr:y>0.59375</cdr:y>
    </cdr:from>
    <cdr:to>
      <cdr:x>0.61667</cdr:x>
      <cdr:y>0.92708</cdr:y>
    </cdr:to>
    <cdr:sp macro="" textlink="">
      <cdr:nvSpPr>
        <cdr:cNvPr id="4" name="ZoneTexte 3"/>
        <cdr:cNvSpPr txBox="1"/>
      </cdr:nvSpPr>
      <cdr:spPr>
        <a:xfrm xmlns:a="http://schemas.openxmlformats.org/drawingml/2006/main">
          <a:off x="1905000" y="1628775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fr-FR" sz="1100"/>
            <a:t>27</a:t>
          </a:r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H21"/>
  <sheetViews>
    <sheetView workbookViewId="0">
      <selection activeCell="C35" sqref="C35"/>
    </sheetView>
  </sheetViews>
  <sheetFormatPr baseColWidth="10" defaultRowHeight="15" x14ac:dyDescent="0.2"/>
  <cols>
    <col min="1" max="7" width="11.5" style="1"/>
  </cols>
  <sheetData>
    <row r="1" spans="1:8" ht="19" x14ac:dyDescent="0.2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12</v>
      </c>
    </row>
    <row r="2" spans="1:8" x14ac:dyDescent="0.2">
      <c r="A2" s="1">
        <v>-12669592</v>
      </c>
      <c r="B2" s="1">
        <v>10220287</v>
      </c>
      <c r="C2" s="1">
        <v>11602297</v>
      </c>
      <c r="D2" s="1">
        <v>10120287</v>
      </c>
      <c r="E2" s="1">
        <v>356403</v>
      </c>
      <c r="F2" s="1">
        <v>24271889</v>
      </c>
      <c r="G2" s="1">
        <v>10632838</v>
      </c>
      <c r="H2">
        <f>Score_Altman(A2,B2,C2,D2,E2,F2,G2)</f>
        <v>3.7256642357577867</v>
      </c>
    </row>
    <row r="3" spans="1:8" x14ac:dyDescent="0.2">
      <c r="A3" s="1">
        <v>25099</v>
      </c>
      <c r="B3" s="1">
        <v>4788760</v>
      </c>
      <c r="C3" s="1">
        <v>13566555</v>
      </c>
      <c r="D3" s="1">
        <v>4688760</v>
      </c>
      <c r="E3" s="1">
        <v>304782</v>
      </c>
      <c r="F3" s="1">
        <v>13541456</v>
      </c>
      <c r="G3" s="1">
        <v>5057196</v>
      </c>
      <c r="H3">
        <f t="shared" ref="H3:H21" si="0">Score_Altman(A3,B3,C3,D3,E3,F3,G3)</f>
        <v>2.022815501124966</v>
      </c>
    </row>
    <row r="4" spans="1:8" x14ac:dyDescent="0.2">
      <c r="A4" s="1">
        <v>5697159</v>
      </c>
      <c r="B4" s="1">
        <v>3196660</v>
      </c>
      <c r="C4" s="1">
        <v>24032434</v>
      </c>
      <c r="D4" s="1">
        <v>3096660</v>
      </c>
      <c r="E4" s="1">
        <v>123104</v>
      </c>
      <c r="F4" s="1">
        <v>18335275</v>
      </c>
      <c r="G4" s="1">
        <v>3669992</v>
      </c>
      <c r="H4">
        <f t="shared" si="0"/>
        <v>1.0524954660427446</v>
      </c>
    </row>
    <row r="5" spans="1:8" x14ac:dyDescent="0.2">
      <c r="A5" s="1">
        <v>115702</v>
      </c>
      <c r="B5" s="1">
        <v>13625272</v>
      </c>
      <c r="C5" s="1">
        <v>14446232</v>
      </c>
      <c r="D5" s="1">
        <v>13525272</v>
      </c>
      <c r="E5" s="1">
        <v>476972</v>
      </c>
      <c r="F5" s="1">
        <v>14330530</v>
      </c>
      <c r="G5" s="1">
        <v>14166333</v>
      </c>
      <c r="H5">
        <f t="shared" si="0"/>
        <v>5.4192872754814472</v>
      </c>
    </row>
    <row r="6" spans="1:8" x14ac:dyDescent="0.2">
      <c r="A6" s="1">
        <v>3816720</v>
      </c>
      <c r="B6" s="1">
        <v>9331367</v>
      </c>
      <c r="C6" s="1">
        <v>16832148</v>
      </c>
      <c r="D6" s="1">
        <v>9231367</v>
      </c>
      <c r="E6" s="1">
        <v>309696</v>
      </c>
      <c r="F6" s="1">
        <v>13015428</v>
      </c>
      <c r="G6" s="1">
        <v>10023146</v>
      </c>
      <c r="H6">
        <f t="shared" si="0"/>
        <v>3.4672294700908632</v>
      </c>
    </row>
    <row r="7" spans="1:8" x14ac:dyDescent="0.2">
      <c r="A7" s="1">
        <v>14124528</v>
      </c>
      <c r="B7" s="1">
        <v>7460138</v>
      </c>
      <c r="C7" s="1">
        <v>24258979</v>
      </c>
      <c r="D7" s="1">
        <v>7360138</v>
      </c>
      <c r="E7" s="1">
        <v>458504</v>
      </c>
      <c r="F7" s="1">
        <v>10134451</v>
      </c>
      <c r="G7" s="1">
        <v>8241103</v>
      </c>
      <c r="H7">
        <f t="shared" si="0"/>
        <v>2.4969501235423692</v>
      </c>
    </row>
    <row r="8" spans="1:8" x14ac:dyDescent="0.2">
      <c r="A8" s="1">
        <v>1559563</v>
      </c>
      <c r="B8" s="1">
        <v>8221100</v>
      </c>
      <c r="C8" s="1">
        <v>19201074</v>
      </c>
      <c r="D8" s="1">
        <v>8121100</v>
      </c>
      <c r="E8" s="1">
        <v>410821</v>
      </c>
      <c r="F8" s="1">
        <v>17641511</v>
      </c>
      <c r="G8" s="1">
        <v>8583139</v>
      </c>
      <c r="H8">
        <f t="shared" si="0"/>
        <v>2.5531636799767972</v>
      </c>
    </row>
    <row r="9" spans="1:8" x14ac:dyDescent="0.2">
      <c r="A9" s="1">
        <v>7220041</v>
      </c>
      <c r="B9" s="1">
        <v>3141192</v>
      </c>
      <c r="C9" s="1">
        <v>19726999</v>
      </c>
      <c r="D9" s="1">
        <v>3041192</v>
      </c>
      <c r="E9" s="1">
        <v>113888</v>
      </c>
      <c r="F9" s="1">
        <v>12506958</v>
      </c>
      <c r="G9" s="1">
        <v>3469461</v>
      </c>
      <c r="H9">
        <f t="shared" si="0"/>
        <v>1.3520263893393647</v>
      </c>
    </row>
    <row r="10" spans="1:8" x14ac:dyDescent="0.2">
      <c r="A10" s="1">
        <v>-7705792</v>
      </c>
      <c r="B10" s="1">
        <v>6297910</v>
      </c>
      <c r="C10" s="1">
        <v>13749043</v>
      </c>
      <c r="D10" s="1">
        <v>6197910</v>
      </c>
      <c r="E10" s="1">
        <v>223844</v>
      </c>
      <c r="F10" s="1">
        <v>21454835</v>
      </c>
      <c r="G10" s="1">
        <v>7004684</v>
      </c>
      <c r="H10">
        <f t="shared" si="0"/>
        <v>1.9715535379088278</v>
      </c>
    </row>
    <row r="11" spans="1:8" x14ac:dyDescent="0.2">
      <c r="A11" s="1">
        <v>-5770669</v>
      </c>
      <c r="B11" s="1">
        <v>10843396</v>
      </c>
      <c r="C11" s="1">
        <v>13446647</v>
      </c>
      <c r="D11" s="1">
        <v>10743396</v>
      </c>
      <c r="E11" s="1">
        <v>293434</v>
      </c>
      <c r="F11" s="1">
        <v>19217316</v>
      </c>
      <c r="G11" s="1">
        <v>11620394</v>
      </c>
      <c r="H11">
        <f t="shared" si="0"/>
        <v>4.1230445131669917</v>
      </c>
    </row>
    <row r="12" spans="1:8" x14ac:dyDescent="0.2">
      <c r="A12" s="1">
        <v>162202</v>
      </c>
      <c r="B12" s="1">
        <v>2707649</v>
      </c>
      <c r="C12" s="1">
        <v>23575056</v>
      </c>
      <c r="D12" s="1">
        <v>2607649</v>
      </c>
      <c r="E12" s="1">
        <v>245758</v>
      </c>
      <c r="F12" s="1">
        <v>23412854</v>
      </c>
      <c r="G12" s="1">
        <v>3471145</v>
      </c>
      <c r="H12">
        <f t="shared" si="0"/>
        <v>0.68745299725557452</v>
      </c>
    </row>
    <row r="13" spans="1:8" x14ac:dyDescent="0.2">
      <c r="A13" s="1">
        <v>10279145</v>
      </c>
      <c r="B13" s="1">
        <v>4100015</v>
      </c>
      <c r="C13" s="1">
        <v>20671895</v>
      </c>
      <c r="D13" s="1">
        <v>4000015</v>
      </c>
      <c r="E13" s="1">
        <v>340240</v>
      </c>
      <c r="F13" s="1">
        <v>10392750</v>
      </c>
      <c r="G13" s="1">
        <v>4899009</v>
      </c>
      <c r="H13">
        <f t="shared" si="0"/>
        <v>1.7693206625034377</v>
      </c>
    </row>
    <row r="14" spans="1:8" x14ac:dyDescent="0.2">
      <c r="A14" s="1">
        <v>-816657</v>
      </c>
      <c r="B14" s="1">
        <v>3314632</v>
      </c>
      <c r="C14" s="1">
        <v>15620529</v>
      </c>
      <c r="D14" s="1">
        <v>3214632</v>
      </c>
      <c r="E14" s="1">
        <v>223387</v>
      </c>
      <c r="F14" s="1">
        <v>16437186</v>
      </c>
      <c r="G14" s="1">
        <v>4061840</v>
      </c>
      <c r="H14">
        <f t="shared" si="0"/>
        <v>1.1813897705145358</v>
      </c>
    </row>
    <row r="15" spans="1:8" x14ac:dyDescent="0.2">
      <c r="A15" s="1">
        <v>-4693175</v>
      </c>
      <c r="B15" s="1">
        <v>2622315</v>
      </c>
      <c r="C15" s="1">
        <v>14177487</v>
      </c>
      <c r="D15" s="1">
        <v>2522315</v>
      </c>
      <c r="E15" s="1">
        <v>407920</v>
      </c>
      <c r="F15" s="1">
        <v>18870662</v>
      </c>
      <c r="G15" s="1">
        <v>2986883</v>
      </c>
      <c r="H15">
        <f t="shared" si="0"/>
        <v>0.67225230100045819</v>
      </c>
    </row>
    <row r="16" spans="1:8" x14ac:dyDescent="0.2">
      <c r="A16" s="1">
        <v>11803165</v>
      </c>
      <c r="B16" s="1">
        <v>9120635</v>
      </c>
      <c r="C16" s="1">
        <v>24192612</v>
      </c>
      <c r="D16" s="1">
        <v>9020635</v>
      </c>
      <c r="E16" s="1">
        <v>189359</v>
      </c>
      <c r="F16" s="1">
        <v>12389447</v>
      </c>
      <c r="G16" s="1">
        <v>9397810</v>
      </c>
      <c r="H16">
        <f t="shared" si="0"/>
        <v>2.7409627818064171</v>
      </c>
    </row>
    <row r="17" spans="1:8" x14ac:dyDescent="0.2">
      <c r="A17" s="1">
        <v>5183016</v>
      </c>
      <c r="B17" s="1">
        <v>8787655</v>
      </c>
      <c r="C17" s="1">
        <v>19195036</v>
      </c>
      <c r="D17" s="1">
        <v>8687655</v>
      </c>
      <c r="E17" s="1">
        <v>123284</v>
      </c>
      <c r="F17" s="1">
        <v>14012020</v>
      </c>
      <c r="G17" s="1">
        <v>9587930</v>
      </c>
      <c r="H17">
        <f t="shared" si="0"/>
        <v>2.9628114092384465</v>
      </c>
    </row>
    <row r="18" spans="1:8" x14ac:dyDescent="0.2">
      <c r="A18" s="1">
        <v>2841324</v>
      </c>
      <c r="B18" s="1">
        <v>10208886</v>
      </c>
      <c r="C18" s="1">
        <v>17581204</v>
      </c>
      <c r="D18" s="1">
        <v>10108886</v>
      </c>
      <c r="E18" s="1">
        <v>100485</v>
      </c>
      <c r="F18" s="1">
        <v>14739880</v>
      </c>
      <c r="G18" s="1">
        <v>10915048</v>
      </c>
      <c r="H18">
        <f t="shared" si="0"/>
        <v>3.5286206172189392</v>
      </c>
    </row>
    <row r="19" spans="1:8" x14ac:dyDescent="0.2">
      <c r="A19" s="1">
        <v>2034404</v>
      </c>
      <c r="B19" s="1">
        <v>6354879</v>
      </c>
      <c r="C19" s="1">
        <v>20751230</v>
      </c>
      <c r="D19" s="1">
        <v>6254879</v>
      </c>
      <c r="E19" s="1">
        <v>326177</v>
      </c>
      <c r="F19" s="1">
        <v>18716826</v>
      </c>
      <c r="G19" s="1">
        <v>7279835</v>
      </c>
      <c r="H19">
        <f t="shared" si="0"/>
        <v>1.9019956661183672</v>
      </c>
    </row>
    <row r="20" spans="1:8" x14ac:dyDescent="0.2">
      <c r="A20" s="1">
        <v>-1275318</v>
      </c>
      <c r="B20" s="1">
        <v>9373731</v>
      </c>
      <c r="C20" s="1">
        <v>16635128</v>
      </c>
      <c r="D20" s="1">
        <v>9273731</v>
      </c>
      <c r="E20" s="1">
        <v>231357</v>
      </c>
      <c r="F20" s="1">
        <v>17910446</v>
      </c>
      <c r="G20" s="1">
        <v>10109637</v>
      </c>
      <c r="H20">
        <f t="shared" si="0"/>
        <v>3.1514402150388876</v>
      </c>
    </row>
    <row r="21" spans="1:8" x14ac:dyDescent="0.2">
      <c r="A21" s="1">
        <v>-5685903</v>
      </c>
      <c r="B21" s="1">
        <v>2132209</v>
      </c>
      <c r="C21" s="1">
        <v>12453407</v>
      </c>
      <c r="D21" s="1">
        <v>2032209</v>
      </c>
      <c r="E21" s="1">
        <v>308071</v>
      </c>
      <c r="F21" s="1">
        <v>18139310</v>
      </c>
      <c r="G21" s="1">
        <v>2642118</v>
      </c>
      <c r="H21">
        <f t="shared" si="0"/>
        <v>0.45246067042608756</v>
      </c>
    </row>
  </sheetData>
  <conditionalFormatting sqref="H2:H21">
    <cfRule type="colorScale" priority="1">
      <colorScale>
        <cfvo type="min"/>
        <cfvo type="percentile" val="50"/>
        <cfvo type="max"/>
        <color rgb="FFFF0000"/>
        <color rgb="FFFFEB84"/>
        <color rgb="FF00B05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H21"/>
  <sheetViews>
    <sheetView workbookViewId="0">
      <selection activeCell="L32" sqref="L32"/>
    </sheetView>
  </sheetViews>
  <sheetFormatPr baseColWidth="10" defaultRowHeight="15" x14ac:dyDescent="0.2"/>
  <sheetData>
    <row r="1" spans="1:8" ht="19" x14ac:dyDescent="0.2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12</v>
      </c>
    </row>
    <row r="2" spans="1:8" x14ac:dyDescent="0.2">
      <c r="A2" s="1">
        <v>10239761</v>
      </c>
      <c r="B2" s="1">
        <v>7216077</v>
      </c>
      <c r="C2" s="1">
        <v>22323551</v>
      </c>
      <c r="D2" s="1">
        <v>7116077</v>
      </c>
      <c r="E2" s="1">
        <v>181379</v>
      </c>
      <c r="F2" s="1">
        <v>12083790</v>
      </c>
      <c r="G2" s="1">
        <v>7815880</v>
      </c>
      <c r="H2">
        <f>Score_Altman(A2,B2,C2,D2,E2,F2,G2)</f>
        <v>2.4137014122299512</v>
      </c>
    </row>
    <row r="3" spans="1:8" x14ac:dyDescent="0.2">
      <c r="A3" s="1">
        <v>-5188964</v>
      </c>
      <c r="B3" s="1">
        <v>6301456</v>
      </c>
      <c r="C3" s="1">
        <v>10585803</v>
      </c>
      <c r="D3" s="1">
        <v>6201456</v>
      </c>
      <c r="E3" s="1">
        <v>481592</v>
      </c>
      <c r="F3" s="1">
        <v>15774767</v>
      </c>
      <c r="G3" s="1">
        <v>6609908</v>
      </c>
      <c r="H3">
        <f t="shared" ref="H3:H21" si="0">Score_Altman(A3,B3,C3,D3,E3,F3,G3)</f>
        <v>2.8205031348194871</v>
      </c>
    </row>
    <row r="4" spans="1:8" x14ac:dyDescent="0.2">
      <c r="A4" s="1">
        <v>7110072</v>
      </c>
      <c r="B4" s="1">
        <v>11769506</v>
      </c>
      <c r="C4" s="1">
        <v>21392423</v>
      </c>
      <c r="D4" s="1">
        <v>11669506</v>
      </c>
      <c r="E4" s="1">
        <v>432266</v>
      </c>
      <c r="F4" s="1">
        <v>14282351</v>
      </c>
      <c r="G4" s="1">
        <v>12373901</v>
      </c>
      <c r="H4">
        <f t="shared" si="0"/>
        <v>3.5652233632736023</v>
      </c>
    </row>
    <row r="5" spans="1:8" x14ac:dyDescent="0.2">
      <c r="A5" s="1">
        <v>-4705002</v>
      </c>
      <c r="B5" s="1">
        <v>49854</v>
      </c>
      <c r="C5" s="1">
        <v>12760474</v>
      </c>
      <c r="D5" s="1">
        <v>-50146</v>
      </c>
      <c r="E5" s="1">
        <v>264554</v>
      </c>
      <c r="F5" s="1">
        <v>17465476</v>
      </c>
      <c r="G5" s="1">
        <v>1009722</v>
      </c>
      <c r="H5">
        <f t="shared" si="0"/>
        <v>-0.36182077860307349</v>
      </c>
    </row>
    <row r="6" spans="1:8" x14ac:dyDescent="0.2">
      <c r="A6" s="1">
        <v>-8007787</v>
      </c>
      <c r="B6" s="1">
        <v>2257975</v>
      </c>
      <c r="C6" s="1">
        <v>13637467</v>
      </c>
      <c r="D6" s="1">
        <v>2157975</v>
      </c>
      <c r="E6" s="1">
        <v>225825</v>
      </c>
      <c r="F6" s="1">
        <v>21645254</v>
      </c>
      <c r="G6" s="1">
        <v>3042758</v>
      </c>
      <c r="H6">
        <f t="shared" si="0"/>
        <v>0.27851368457977776</v>
      </c>
    </row>
    <row r="7" spans="1:8" x14ac:dyDescent="0.2">
      <c r="A7" s="1">
        <v>8443487</v>
      </c>
      <c r="B7" s="1">
        <v>7677471</v>
      </c>
      <c r="C7" s="1">
        <v>18950949</v>
      </c>
      <c r="D7" s="1">
        <v>7577471</v>
      </c>
      <c r="E7" s="1">
        <v>138883</v>
      </c>
      <c r="F7" s="1">
        <v>10507462</v>
      </c>
      <c r="G7" s="1">
        <v>8442581</v>
      </c>
      <c r="H7">
        <f t="shared" si="0"/>
        <v>2.8743007905340843</v>
      </c>
    </row>
    <row r="8" spans="1:8" x14ac:dyDescent="0.2">
      <c r="A8" s="1">
        <v>1558033</v>
      </c>
      <c r="B8" s="1">
        <v>12929599</v>
      </c>
      <c r="C8" s="1">
        <v>17280722</v>
      </c>
      <c r="D8" s="1">
        <v>12829599</v>
      </c>
      <c r="E8" s="1">
        <v>148004</v>
      </c>
      <c r="F8" s="1">
        <v>15722689</v>
      </c>
      <c r="G8" s="1">
        <v>13402050</v>
      </c>
      <c r="H8">
        <f t="shared" si="0"/>
        <v>4.3861017546052752</v>
      </c>
    </row>
    <row r="9" spans="1:8" x14ac:dyDescent="0.2">
      <c r="A9" s="1">
        <v>-1699302</v>
      </c>
      <c r="B9" s="1">
        <v>7321042</v>
      </c>
      <c r="C9" s="1">
        <v>12865033</v>
      </c>
      <c r="D9" s="1">
        <v>7221042</v>
      </c>
      <c r="E9" s="1">
        <v>214458</v>
      </c>
      <c r="F9" s="1">
        <v>14564335</v>
      </c>
      <c r="G9" s="1">
        <v>7683253</v>
      </c>
      <c r="H9">
        <f t="shared" si="0"/>
        <v>3.0959086029659648</v>
      </c>
    </row>
    <row r="10" spans="1:8" x14ac:dyDescent="0.2">
      <c r="A10" s="1">
        <v>-5958196</v>
      </c>
      <c r="B10" s="1">
        <v>14219713</v>
      </c>
      <c r="C10" s="1">
        <v>16739427</v>
      </c>
      <c r="D10" s="1">
        <v>14119713</v>
      </c>
      <c r="E10" s="1">
        <v>388391</v>
      </c>
      <c r="F10" s="1">
        <v>22697623</v>
      </c>
      <c r="G10" s="1">
        <v>14444580</v>
      </c>
      <c r="H10">
        <f t="shared" si="0"/>
        <v>4.4180015014373462</v>
      </c>
    </row>
    <row r="11" spans="1:8" x14ac:dyDescent="0.2">
      <c r="A11" s="1">
        <v>-10450267</v>
      </c>
      <c r="B11" s="1">
        <v>7723385</v>
      </c>
      <c r="C11" s="1">
        <v>14483512</v>
      </c>
      <c r="D11" s="1">
        <v>7623385</v>
      </c>
      <c r="E11" s="1">
        <v>363396</v>
      </c>
      <c r="F11" s="1">
        <v>24933779</v>
      </c>
      <c r="G11" s="1">
        <v>8287099</v>
      </c>
      <c r="H11">
        <f t="shared" si="0"/>
        <v>2.1980203761131691</v>
      </c>
    </row>
    <row r="12" spans="1:8" x14ac:dyDescent="0.2">
      <c r="A12" s="1">
        <v>3102730</v>
      </c>
      <c r="B12" s="1">
        <v>13433304</v>
      </c>
      <c r="C12" s="1">
        <v>25517865</v>
      </c>
      <c r="D12" s="1">
        <v>13333304</v>
      </c>
      <c r="E12" s="1">
        <v>249202</v>
      </c>
      <c r="F12" s="1">
        <v>22415135</v>
      </c>
      <c r="G12" s="1">
        <v>14094108</v>
      </c>
      <c r="H12">
        <f t="shared" si="0"/>
        <v>3.1656267793836776</v>
      </c>
    </row>
    <row r="13" spans="1:8" x14ac:dyDescent="0.2">
      <c r="A13" s="1">
        <v>-9515416</v>
      </c>
      <c r="B13" s="1">
        <v>13245123</v>
      </c>
      <c r="C13" s="1">
        <v>13415355</v>
      </c>
      <c r="D13" s="1">
        <v>13145123</v>
      </c>
      <c r="E13" s="1">
        <v>363508</v>
      </c>
      <c r="F13" s="1">
        <v>22930771</v>
      </c>
      <c r="G13" s="1">
        <v>13602386</v>
      </c>
      <c r="H13">
        <f t="shared" si="0"/>
        <v>4.7870490154336096</v>
      </c>
    </row>
    <row r="14" spans="1:8" x14ac:dyDescent="0.2">
      <c r="A14" s="1">
        <v>9684313</v>
      </c>
      <c r="B14" s="1">
        <v>4759231</v>
      </c>
      <c r="C14" s="1">
        <v>22248542</v>
      </c>
      <c r="D14" s="1">
        <v>4659231</v>
      </c>
      <c r="E14" s="1">
        <v>344243</v>
      </c>
      <c r="F14" s="1">
        <v>12564229</v>
      </c>
      <c r="G14" s="1">
        <v>5569819</v>
      </c>
      <c r="H14">
        <f t="shared" si="0"/>
        <v>1.779422605881855</v>
      </c>
    </row>
    <row r="15" spans="1:8" x14ac:dyDescent="0.2">
      <c r="A15" s="1">
        <v>9067748</v>
      </c>
      <c r="B15" s="1">
        <v>6505027</v>
      </c>
      <c r="C15" s="1">
        <v>22729020</v>
      </c>
      <c r="D15" s="1">
        <v>6405027</v>
      </c>
      <c r="E15" s="1">
        <v>201039</v>
      </c>
      <c r="F15" s="1">
        <v>13661272</v>
      </c>
      <c r="G15" s="1">
        <v>7461786</v>
      </c>
      <c r="H15">
        <f t="shared" si="0"/>
        <v>2.1461522138097835</v>
      </c>
    </row>
    <row r="16" spans="1:8" x14ac:dyDescent="0.2">
      <c r="A16" s="1">
        <v>-1118680</v>
      </c>
      <c r="B16" s="1">
        <v>13207491</v>
      </c>
      <c r="C16" s="1">
        <v>20511012</v>
      </c>
      <c r="D16" s="1">
        <v>13107491</v>
      </c>
      <c r="E16" s="1">
        <v>245968</v>
      </c>
      <c r="F16" s="1">
        <v>21629692</v>
      </c>
      <c r="G16" s="1">
        <v>14167518</v>
      </c>
      <c r="H16">
        <f t="shared" si="0"/>
        <v>3.6417554704447808</v>
      </c>
    </row>
    <row r="17" spans="1:8" x14ac:dyDescent="0.2">
      <c r="A17" s="1">
        <v>5206084</v>
      </c>
      <c r="B17" s="1">
        <v>2402015</v>
      </c>
      <c r="C17" s="1">
        <v>21742356</v>
      </c>
      <c r="D17" s="1">
        <v>2302015</v>
      </c>
      <c r="E17" s="1">
        <v>148290</v>
      </c>
      <c r="F17" s="1">
        <v>16536272</v>
      </c>
      <c r="G17" s="1">
        <v>2694615</v>
      </c>
      <c r="H17">
        <f t="shared" si="0"/>
        <v>0.92058455878652834</v>
      </c>
    </row>
    <row r="18" spans="1:8" x14ac:dyDescent="0.2">
      <c r="A18" s="1">
        <v>-795227</v>
      </c>
      <c r="B18" s="1">
        <v>10817831</v>
      </c>
      <c r="C18" s="1">
        <v>22192778</v>
      </c>
      <c r="D18" s="1">
        <v>10717831</v>
      </c>
      <c r="E18" s="1">
        <v>200485</v>
      </c>
      <c r="F18" s="1">
        <v>22988005</v>
      </c>
      <c r="G18" s="1">
        <v>11319869</v>
      </c>
      <c r="H18">
        <f t="shared" si="0"/>
        <v>2.7479305289782454</v>
      </c>
    </row>
    <row r="19" spans="1:8" x14ac:dyDescent="0.2">
      <c r="A19" s="1">
        <v>9567109</v>
      </c>
      <c r="B19" s="1">
        <v>2080415</v>
      </c>
      <c r="C19" s="1">
        <v>23002305</v>
      </c>
      <c r="D19" s="1">
        <v>1980415</v>
      </c>
      <c r="E19" s="1">
        <v>199289</v>
      </c>
      <c r="F19" s="1">
        <v>13435196</v>
      </c>
      <c r="G19" s="1">
        <v>2915591</v>
      </c>
      <c r="H19">
        <f t="shared" si="0"/>
        <v>1.0453681702725734</v>
      </c>
    </row>
    <row r="20" spans="1:8" x14ac:dyDescent="0.2">
      <c r="A20" s="1">
        <v>-448492</v>
      </c>
      <c r="B20" s="1">
        <v>12111962</v>
      </c>
      <c r="C20" s="1">
        <v>15153729</v>
      </c>
      <c r="D20" s="1">
        <v>12011962</v>
      </c>
      <c r="E20" s="1">
        <v>428139</v>
      </c>
      <c r="F20" s="1">
        <v>15602221</v>
      </c>
      <c r="G20" s="1">
        <v>12570944</v>
      </c>
      <c r="H20">
        <f t="shared" si="0"/>
        <v>4.5444856009559746</v>
      </c>
    </row>
    <row r="21" spans="1:8" x14ac:dyDescent="0.2">
      <c r="A21" s="1">
        <v>-467841</v>
      </c>
      <c r="B21" s="1">
        <v>6960226</v>
      </c>
      <c r="C21" s="1">
        <v>15805880</v>
      </c>
      <c r="D21" s="1">
        <v>6860226</v>
      </c>
      <c r="E21" s="1">
        <v>207048</v>
      </c>
      <c r="F21" s="1">
        <v>16273721</v>
      </c>
      <c r="G21" s="1">
        <v>7606049</v>
      </c>
      <c r="H21">
        <f t="shared" si="0"/>
        <v>2.5016483353282704</v>
      </c>
    </row>
  </sheetData>
  <conditionalFormatting sqref="H2:H21">
    <cfRule type="colorScale" priority="1">
      <colorScale>
        <cfvo type="min"/>
        <cfvo type="percentile" val="50"/>
        <cfvo type="max"/>
        <color rgb="FFFF0000"/>
        <color rgb="FFFFEB84"/>
        <color rgb="FF00B050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H21"/>
  <sheetViews>
    <sheetView workbookViewId="0">
      <selection activeCell="J31" sqref="J31"/>
    </sheetView>
  </sheetViews>
  <sheetFormatPr baseColWidth="10" defaultRowHeight="15" x14ac:dyDescent="0.2"/>
  <sheetData>
    <row r="1" spans="1:8" ht="19" x14ac:dyDescent="0.2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12</v>
      </c>
    </row>
    <row r="2" spans="1:8" x14ac:dyDescent="0.2">
      <c r="A2" s="1">
        <v>-4071868</v>
      </c>
      <c r="B2" s="1">
        <v>8971976</v>
      </c>
      <c r="C2" s="1">
        <v>15701038</v>
      </c>
      <c r="D2" s="1">
        <v>8871976</v>
      </c>
      <c r="E2" s="1">
        <v>203124</v>
      </c>
      <c r="F2" s="1">
        <v>19772906</v>
      </c>
      <c r="G2" s="1">
        <v>9253255</v>
      </c>
      <c r="H2">
        <f>Score_Altman(A2,B2,C2,D2,E2,F2,G2)</f>
        <v>2.9483925803838336</v>
      </c>
    </row>
    <row r="3" spans="1:8" x14ac:dyDescent="0.2">
      <c r="A3" s="1">
        <v>792206</v>
      </c>
      <c r="B3" s="1">
        <v>10563750</v>
      </c>
      <c r="C3" s="1">
        <v>22159962</v>
      </c>
      <c r="D3" s="1">
        <v>10463750</v>
      </c>
      <c r="E3" s="1">
        <v>208170</v>
      </c>
      <c r="F3" s="1">
        <v>21367756</v>
      </c>
      <c r="G3" s="1">
        <v>10921264</v>
      </c>
      <c r="H3">
        <f t="shared" ref="H3:H21" si="0">Score_Altman(A3,B3,C3,D3,E3,F3,G3)</f>
        <v>2.7667081584741609</v>
      </c>
    </row>
    <row r="4" spans="1:8" x14ac:dyDescent="0.2">
      <c r="A4" s="1">
        <v>5640419</v>
      </c>
      <c r="B4" s="1">
        <v>5228828</v>
      </c>
      <c r="C4" s="1">
        <v>25743034</v>
      </c>
      <c r="D4" s="1">
        <v>5128828</v>
      </c>
      <c r="E4" s="1">
        <v>306697</v>
      </c>
      <c r="F4" s="1">
        <v>20102615</v>
      </c>
      <c r="G4" s="1">
        <v>6114153</v>
      </c>
      <c r="H4">
        <f t="shared" si="0"/>
        <v>1.4511764045879667</v>
      </c>
    </row>
    <row r="5" spans="1:8" x14ac:dyDescent="0.2">
      <c r="A5" s="1">
        <v>4210530</v>
      </c>
      <c r="B5" s="1">
        <v>8992874</v>
      </c>
      <c r="C5" s="1">
        <v>19122529</v>
      </c>
      <c r="D5" s="1">
        <v>8892874</v>
      </c>
      <c r="E5" s="1">
        <v>255600</v>
      </c>
      <c r="F5" s="1">
        <v>14911999</v>
      </c>
      <c r="G5" s="1">
        <v>9287741</v>
      </c>
      <c r="H5">
        <f t="shared" si="0"/>
        <v>2.9527610893913412</v>
      </c>
    </row>
    <row r="6" spans="1:8" x14ac:dyDescent="0.2">
      <c r="A6" s="1">
        <v>2887233</v>
      </c>
      <c r="B6" s="1">
        <v>13147117</v>
      </c>
      <c r="C6" s="1">
        <v>21448394</v>
      </c>
      <c r="D6" s="1">
        <v>13047117</v>
      </c>
      <c r="E6" s="1">
        <v>196255</v>
      </c>
      <c r="F6" s="1">
        <v>18561161</v>
      </c>
      <c r="G6" s="1">
        <v>13543145</v>
      </c>
      <c r="H6">
        <f t="shared" si="0"/>
        <v>3.6642277792858007</v>
      </c>
    </row>
    <row r="7" spans="1:8" x14ac:dyDescent="0.2">
      <c r="A7" s="1">
        <v>1685691</v>
      </c>
      <c r="B7" s="1">
        <v>12971148</v>
      </c>
      <c r="C7" s="1">
        <v>21322103</v>
      </c>
      <c r="D7" s="1">
        <v>12871148</v>
      </c>
      <c r="E7" s="1">
        <v>347600</v>
      </c>
      <c r="F7" s="1">
        <v>19636412</v>
      </c>
      <c r="G7" s="1">
        <v>13906952</v>
      </c>
      <c r="H7">
        <f t="shared" si="0"/>
        <v>3.6008049353909151</v>
      </c>
    </row>
    <row r="8" spans="1:8" x14ac:dyDescent="0.2">
      <c r="A8" s="1">
        <v>-3225736</v>
      </c>
      <c r="B8" s="1">
        <v>4960797</v>
      </c>
      <c r="C8" s="1">
        <v>19580822</v>
      </c>
      <c r="D8" s="1">
        <v>4860797</v>
      </c>
      <c r="E8" s="1">
        <v>365350</v>
      </c>
      <c r="F8" s="1">
        <v>22806558</v>
      </c>
      <c r="G8" s="1">
        <v>5597803</v>
      </c>
      <c r="H8">
        <f t="shared" si="0"/>
        <v>1.2714110296843359</v>
      </c>
    </row>
    <row r="9" spans="1:8" x14ac:dyDescent="0.2">
      <c r="A9" s="1">
        <v>3125064</v>
      </c>
      <c r="B9" s="1">
        <v>14107331</v>
      </c>
      <c r="C9" s="1">
        <v>20552628</v>
      </c>
      <c r="D9" s="1">
        <v>14007331</v>
      </c>
      <c r="E9" s="1">
        <v>296064</v>
      </c>
      <c r="F9" s="1">
        <v>17427564</v>
      </c>
      <c r="G9" s="1">
        <v>14593538</v>
      </c>
      <c r="H9">
        <f t="shared" si="0"/>
        <v>4.1120273768929883</v>
      </c>
    </row>
    <row r="10" spans="1:8" x14ac:dyDescent="0.2">
      <c r="A10" s="1">
        <v>4819843</v>
      </c>
      <c r="B10" s="1">
        <v>6813112</v>
      </c>
      <c r="C10" s="1">
        <v>23154062</v>
      </c>
      <c r="D10" s="1">
        <v>6713112</v>
      </c>
      <c r="E10" s="1">
        <v>266841</v>
      </c>
      <c r="F10" s="1">
        <v>18334219</v>
      </c>
      <c r="G10" s="1">
        <v>7410181</v>
      </c>
      <c r="H10">
        <f t="shared" si="0"/>
        <v>1.9469759979674783</v>
      </c>
    </row>
    <row r="11" spans="1:8" x14ac:dyDescent="0.2">
      <c r="A11" s="1">
        <v>1524804</v>
      </c>
      <c r="B11" s="1">
        <v>5173541</v>
      </c>
      <c r="C11" s="1">
        <v>17658795</v>
      </c>
      <c r="D11" s="1">
        <v>5073541</v>
      </c>
      <c r="E11" s="1">
        <v>449026</v>
      </c>
      <c r="F11" s="1">
        <v>16133991</v>
      </c>
      <c r="G11" s="1">
        <v>5878212</v>
      </c>
      <c r="H11">
        <f t="shared" si="0"/>
        <v>1.8111439104938636</v>
      </c>
    </row>
    <row r="12" spans="1:8" x14ac:dyDescent="0.2">
      <c r="A12" s="1">
        <v>-1946723</v>
      </c>
      <c r="B12" s="1">
        <v>6728620</v>
      </c>
      <c r="C12" s="1">
        <v>15406364</v>
      </c>
      <c r="D12" s="1">
        <v>6628620</v>
      </c>
      <c r="E12" s="1">
        <v>228340</v>
      </c>
      <c r="F12" s="1">
        <v>17353087</v>
      </c>
      <c r="G12" s="1">
        <v>6896293</v>
      </c>
      <c r="H12">
        <f t="shared" si="0"/>
        <v>2.3347155483481727</v>
      </c>
    </row>
    <row r="13" spans="1:8" x14ac:dyDescent="0.2">
      <c r="A13" s="1">
        <v>1153126</v>
      </c>
      <c r="B13" s="1">
        <v>3656309</v>
      </c>
      <c r="C13" s="1">
        <v>22435472</v>
      </c>
      <c r="D13" s="1">
        <v>3556309</v>
      </c>
      <c r="E13" s="1">
        <v>370975</v>
      </c>
      <c r="F13" s="1">
        <v>21282346</v>
      </c>
      <c r="G13" s="1">
        <v>4634339</v>
      </c>
      <c r="H13">
        <f t="shared" si="0"/>
        <v>1.0297422458274885</v>
      </c>
    </row>
    <row r="14" spans="1:8" x14ac:dyDescent="0.2">
      <c r="A14" s="1">
        <v>-2832271</v>
      </c>
      <c r="B14" s="1">
        <v>9000832</v>
      </c>
      <c r="C14" s="1">
        <v>11683026</v>
      </c>
      <c r="D14" s="1">
        <v>8900832</v>
      </c>
      <c r="E14" s="1">
        <v>107927</v>
      </c>
      <c r="F14" s="1">
        <v>14515297</v>
      </c>
      <c r="G14" s="1">
        <v>9464077</v>
      </c>
      <c r="H14">
        <f t="shared" si="0"/>
        <v>4.1155364104236849</v>
      </c>
    </row>
    <row r="15" spans="1:8" x14ac:dyDescent="0.2">
      <c r="A15" s="1">
        <v>2101397</v>
      </c>
      <c r="B15" s="1">
        <v>8502703</v>
      </c>
      <c r="C15" s="1">
        <v>20815120</v>
      </c>
      <c r="D15" s="1">
        <v>8402703</v>
      </c>
      <c r="E15" s="1">
        <v>309383</v>
      </c>
      <c r="F15" s="1">
        <v>18713723</v>
      </c>
      <c r="G15" s="1">
        <v>9212010</v>
      </c>
      <c r="H15">
        <f t="shared" si="0"/>
        <v>2.4772210291376418</v>
      </c>
    </row>
    <row r="16" spans="1:8" x14ac:dyDescent="0.2">
      <c r="A16" s="1">
        <v>-1287452</v>
      </c>
      <c r="B16" s="1">
        <v>10478281</v>
      </c>
      <c r="C16" s="1">
        <v>17824456</v>
      </c>
      <c r="D16" s="1">
        <v>10378281</v>
      </c>
      <c r="E16" s="1">
        <v>392505</v>
      </c>
      <c r="F16" s="1">
        <v>19111908</v>
      </c>
      <c r="G16" s="1">
        <v>10742805</v>
      </c>
      <c r="H16">
        <f t="shared" si="0"/>
        <v>3.2721716221007062</v>
      </c>
    </row>
    <row r="17" spans="1:8" x14ac:dyDescent="0.2">
      <c r="A17" s="1">
        <v>-12405719</v>
      </c>
      <c r="B17" s="1">
        <v>749472</v>
      </c>
      <c r="C17" s="1">
        <v>11625342</v>
      </c>
      <c r="D17" s="1">
        <v>649472</v>
      </c>
      <c r="E17" s="1">
        <v>485882</v>
      </c>
      <c r="F17" s="1">
        <v>24031061</v>
      </c>
      <c r="G17" s="1">
        <v>1704025</v>
      </c>
      <c r="H17">
        <f t="shared" si="0"/>
        <v>-0.84737226122610998</v>
      </c>
    </row>
    <row r="18" spans="1:8" x14ac:dyDescent="0.2">
      <c r="A18" s="1">
        <v>-13437609</v>
      </c>
      <c r="B18" s="1">
        <v>13282127</v>
      </c>
      <c r="C18" s="1">
        <v>11413864</v>
      </c>
      <c r="D18" s="1">
        <v>13182127</v>
      </c>
      <c r="E18" s="1">
        <v>451232</v>
      </c>
      <c r="F18" s="1">
        <v>24851473</v>
      </c>
      <c r="G18" s="1">
        <v>14021717</v>
      </c>
      <c r="H18">
        <f t="shared" si="0"/>
        <v>5.2657809264820763</v>
      </c>
    </row>
    <row r="19" spans="1:8" x14ac:dyDescent="0.2">
      <c r="A19" s="1">
        <v>7032191</v>
      </c>
      <c r="B19" s="1">
        <v>10833928</v>
      </c>
      <c r="C19" s="1">
        <v>20761346</v>
      </c>
      <c r="D19" s="1">
        <v>10733928</v>
      </c>
      <c r="E19" s="1">
        <v>108050</v>
      </c>
      <c r="F19" s="1">
        <v>13729155</v>
      </c>
      <c r="G19" s="1">
        <v>11770412</v>
      </c>
      <c r="H19">
        <f t="shared" si="0"/>
        <v>3.4142665350455639</v>
      </c>
    </row>
    <row r="20" spans="1:8" x14ac:dyDescent="0.2">
      <c r="A20" s="1">
        <v>4585375</v>
      </c>
      <c r="B20" s="1">
        <v>3051865</v>
      </c>
      <c r="C20" s="1">
        <v>16049610</v>
      </c>
      <c r="D20" s="1">
        <v>2951865</v>
      </c>
      <c r="E20" s="1">
        <v>461580</v>
      </c>
      <c r="F20" s="1">
        <v>11464235</v>
      </c>
      <c r="G20" s="1">
        <v>3695361</v>
      </c>
      <c r="H20">
        <f t="shared" si="0"/>
        <v>1.4701666042188455</v>
      </c>
    </row>
    <row r="21" spans="1:8" x14ac:dyDescent="0.2">
      <c r="A21" s="1">
        <v>-5673288</v>
      </c>
      <c r="B21" s="1">
        <v>9253962</v>
      </c>
      <c r="C21" s="1">
        <v>13532916</v>
      </c>
      <c r="D21" s="1">
        <v>9153962</v>
      </c>
      <c r="E21" s="1">
        <v>250839</v>
      </c>
      <c r="F21" s="1">
        <v>19206204</v>
      </c>
      <c r="G21" s="1">
        <v>9488747</v>
      </c>
      <c r="H21">
        <f t="shared" si="0"/>
        <v>3.3947584178554155</v>
      </c>
    </row>
  </sheetData>
  <conditionalFormatting sqref="H2:H21">
    <cfRule type="colorScale" priority="1">
      <colorScale>
        <cfvo type="min"/>
        <cfvo type="percentile" val="50"/>
        <cfvo type="max"/>
        <color rgb="FFFF0000"/>
        <color rgb="FFFFEB84"/>
        <color rgb="FF00B050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21"/>
  <sheetViews>
    <sheetView workbookViewId="0">
      <selection activeCell="I36" sqref="I36"/>
    </sheetView>
  </sheetViews>
  <sheetFormatPr baseColWidth="10" defaultRowHeight="15" x14ac:dyDescent="0.2"/>
  <sheetData>
    <row r="1" spans="1:8" ht="19" x14ac:dyDescent="0.2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12</v>
      </c>
    </row>
    <row r="2" spans="1:8" x14ac:dyDescent="0.2">
      <c r="A2" s="1">
        <v>-6311341</v>
      </c>
      <c r="B2" s="1">
        <v>12219821</v>
      </c>
      <c r="C2" s="1">
        <v>14950608</v>
      </c>
      <c r="D2" s="1">
        <v>12119821</v>
      </c>
      <c r="E2" s="1">
        <v>263374</v>
      </c>
      <c r="F2" s="1">
        <v>21261949</v>
      </c>
      <c r="G2" s="1">
        <v>12774705</v>
      </c>
      <c r="H2">
        <f>Score_Altman(A2,B2,C2,D2,E2,F2,G2)</f>
        <v>4.1739169837021626</v>
      </c>
    </row>
    <row r="3" spans="1:8" x14ac:dyDescent="0.2">
      <c r="A3" s="1">
        <v>8695609</v>
      </c>
      <c r="B3" s="1">
        <v>5934684</v>
      </c>
      <c r="C3" s="1">
        <v>21803518</v>
      </c>
      <c r="D3" s="1">
        <v>5834684</v>
      </c>
      <c r="E3" s="1">
        <v>478604</v>
      </c>
      <c r="F3" s="1">
        <v>13107909</v>
      </c>
      <c r="G3" s="1">
        <v>6794410</v>
      </c>
      <c r="H3">
        <f t="shared" ref="H3:H21" si="0">Score_Altman(A3,B3,C3,D3,E3,F3,G3)</f>
        <v>2.0759504603947008</v>
      </c>
    </row>
    <row r="4" spans="1:8" x14ac:dyDescent="0.2">
      <c r="A4" s="1">
        <v>11842621</v>
      </c>
      <c r="B4" s="1">
        <v>5946111</v>
      </c>
      <c r="C4" s="1">
        <v>23514900</v>
      </c>
      <c r="D4" s="1">
        <v>5846111</v>
      </c>
      <c r="E4" s="1">
        <v>445298</v>
      </c>
      <c r="F4" s="1">
        <v>11672279</v>
      </c>
      <c r="G4" s="1">
        <v>6142666</v>
      </c>
      <c r="H4">
        <f t="shared" si="0"/>
        <v>2.0626346260137094</v>
      </c>
    </row>
    <row r="5" spans="1:8" x14ac:dyDescent="0.2">
      <c r="A5" s="1">
        <v>4948429</v>
      </c>
      <c r="B5" s="1">
        <v>6452618</v>
      </c>
      <c r="C5" s="1">
        <v>23486157</v>
      </c>
      <c r="D5" s="1">
        <v>6352618</v>
      </c>
      <c r="E5" s="1">
        <v>323819</v>
      </c>
      <c r="F5" s="1">
        <v>18537728</v>
      </c>
      <c r="G5" s="1">
        <v>6902284</v>
      </c>
      <c r="H5">
        <f t="shared" si="0"/>
        <v>1.8341423982540503</v>
      </c>
    </row>
    <row r="6" spans="1:8" x14ac:dyDescent="0.2">
      <c r="A6" s="1">
        <v>-1437436</v>
      </c>
      <c r="B6" s="1">
        <v>9825695</v>
      </c>
      <c r="C6" s="1">
        <v>23468782</v>
      </c>
      <c r="D6" s="1">
        <v>9725695</v>
      </c>
      <c r="E6" s="1">
        <v>182774</v>
      </c>
      <c r="F6" s="1">
        <v>24906218</v>
      </c>
      <c r="G6" s="1">
        <v>9941860</v>
      </c>
      <c r="H6">
        <f t="shared" si="0"/>
        <v>2.3077932495717843</v>
      </c>
    </row>
    <row r="7" spans="1:8" x14ac:dyDescent="0.2">
      <c r="A7" s="1">
        <v>2658190</v>
      </c>
      <c r="B7" s="1">
        <v>5882746</v>
      </c>
      <c r="C7" s="1">
        <v>24548838</v>
      </c>
      <c r="D7" s="1">
        <v>5782746</v>
      </c>
      <c r="E7" s="1">
        <v>189074</v>
      </c>
      <c r="F7" s="1">
        <v>21890648</v>
      </c>
      <c r="G7" s="1">
        <v>6665520</v>
      </c>
      <c r="H7">
        <f t="shared" si="0"/>
        <v>1.5192087168496207</v>
      </c>
    </row>
    <row r="8" spans="1:8" x14ac:dyDescent="0.2">
      <c r="A8" s="1">
        <v>-3107811</v>
      </c>
      <c r="B8" s="1">
        <v>13189767</v>
      </c>
      <c r="C8" s="1">
        <v>15253511</v>
      </c>
      <c r="D8" s="1">
        <v>13089767</v>
      </c>
      <c r="E8" s="1">
        <v>215518</v>
      </c>
      <c r="F8" s="1">
        <v>18361322</v>
      </c>
      <c r="G8" s="1">
        <v>14021906</v>
      </c>
      <c r="H8">
        <f t="shared" si="0"/>
        <v>4.7233610434768831</v>
      </c>
    </row>
    <row r="9" spans="1:8" x14ac:dyDescent="0.2">
      <c r="A9" s="1">
        <v>-3924307</v>
      </c>
      <c r="B9" s="1">
        <v>2011386</v>
      </c>
      <c r="C9" s="1">
        <v>20764602</v>
      </c>
      <c r="D9" s="1">
        <v>1911386</v>
      </c>
      <c r="E9" s="1">
        <v>231851</v>
      </c>
      <c r="F9" s="1">
        <v>24688909</v>
      </c>
      <c r="G9" s="1">
        <v>2140499</v>
      </c>
      <c r="H9">
        <f t="shared" si="0"/>
        <v>0.32120544585633493</v>
      </c>
    </row>
    <row r="10" spans="1:8" x14ac:dyDescent="0.2">
      <c r="A10" s="1">
        <v>-299386</v>
      </c>
      <c r="B10" s="1">
        <v>9935835</v>
      </c>
      <c r="C10" s="1">
        <v>16359826</v>
      </c>
      <c r="D10" s="1">
        <v>9835835</v>
      </c>
      <c r="E10" s="1">
        <v>113945</v>
      </c>
      <c r="F10" s="1">
        <v>16659212</v>
      </c>
      <c r="G10" s="1">
        <v>10043809</v>
      </c>
      <c r="H10">
        <f t="shared" si="0"/>
        <v>3.4297470434034913</v>
      </c>
    </row>
    <row r="11" spans="1:8" x14ac:dyDescent="0.2">
      <c r="A11" s="1">
        <v>3215388</v>
      </c>
      <c r="B11" s="1">
        <v>10563993</v>
      </c>
      <c r="C11" s="1">
        <v>22907859</v>
      </c>
      <c r="D11" s="1">
        <v>10463993</v>
      </c>
      <c r="E11" s="1">
        <v>160618</v>
      </c>
      <c r="F11" s="1">
        <v>19692471</v>
      </c>
      <c r="G11" s="1">
        <v>11242611</v>
      </c>
      <c r="H11">
        <f t="shared" si="0"/>
        <v>2.8166188433304828</v>
      </c>
    </row>
    <row r="12" spans="1:8" x14ac:dyDescent="0.2">
      <c r="A12" s="1">
        <v>-1382090</v>
      </c>
      <c r="B12" s="1">
        <v>11377713</v>
      </c>
      <c r="C12" s="1">
        <v>19613743</v>
      </c>
      <c r="D12" s="1">
        <v>11277713</v>
      </c>
      <c r="E12" s="1">
        <v>436345</v>
      </c>
      <c r="F12" s="1">
        <v>20995833</v>
      </c>
      <c r="G12" s="1">
        <v>11890815</v>
      </c>
      <c r="H12">
        <f t="shared" si="0"/>
        <v>3.2431464177574241</v>
      </c>
    </row>
    <row r="13" spans="1:8" x14ac:dyDescent="0.2">
      <c r="A13" s="1">
        <v>-5527357</v>
      </c>
      <c r="B13" s="1">
        <v>2634310</v>
      </c>
      <c r="C13" s="1">
        <v>17167143</v>
      </c>
      <c r="D13" s="1">
        <v>2534310</v>
      </c>
      <c r="E13" s="1">
        <v>225513</v>
      </c>
      <c r="F13" s="1">
        <v>22694500</v>
      </c>
      <c r="G13" s="1">
        <v>3438036</v>
      </c>
      <c r="H13">
        <f t="shared" si="0"/>
        <v>0.52165811657666439</v>
      </c>
    </row>
    <row r="14" spans="1:8" x14ac:dyDescent="0.2">
      <c r="A14" s="1">
        <v>8428979</v>
      </c>
      <c r="B14" s="1">
        <v>5310524</v>
      </c>
      <c r="C14" s="1">
        <v>18437602</v>
      </c>
      <c r="D14" s="1">
        <v>5210524</v>
      </c>
      <c r="E14" s="1">
        <v>184084</v>
      </c>
      <c r="F14" s="1">
        <v>10008623</v>
      </c>
      <c r="G14" s="1">
        <v>5946934</v>
      </c>
      <c r="H14">
        <f t="shared" si="0"/>
        <v>2.2176795695351146</v>
      </c>
    </row>
    <row r="15" spans="1:8" x14ac:dyDescent="0.2">
      <c r="A15" s="1">
        <v>8631307</v>
      </c>
      <c r="B15" s="1">
        <v>4043264</v>
      </c>
      <c r="C15" s="1">
        <v>20863713</v>
      </c>
      <c r="D15" s="1">
        <v>3943264</v>
      </c>
      <c r="E15" s="1">
        <v>216505</v>
      </c>
      <c r="F15" s="1">
        <v>12232406</v>
      </c>
      <c r="G15" s="1">
        <v>5041157</v>
      </c>
      <c r="H15">
        <f t="shared" si="0"/>
        <v>1.6434557400322403</v>
      </c>
    </row>
    <row r="16" spans="1:8" x14ac:dyDescent="0.2">
      <c r="A16" s="1">
        <v>-2713308</v>
      </c>
      <c r="B16" s="1">
        <v>7931167</v>
      </c>
      <c r="C16" s="1">
        <v>10681783</v>
      </c>
      <c r="D16" s="1">
        <v>7831167</v>
      </c>
      <c r="E16" s="1">
        <v>434862</v>
      </c>
      <c r="F16" s="1">
        <v>13395091</v>
      </c>
      <c r="G16" s="1">
        <v>8042661</v>
      </c>
      <c r="H16">
        <f t="shared" si="0"/>
        <v>3.9256741578419745</v>
      </c>
    </row>
    <row r="17" spans="1:8" x14ac:dyDescent="0.2">
      <c r="A17" s="1">
        <v>-9895761</v>
      </c>
      <c r="B17" s="1">
        <v>14437013</v>
      </c>
      <c r="C17" s="1">
        <v>12930169</v>
      </c>
      <c r="D17" s="1">
        <v>14337013</v>
      </c>
      <c r="E17" s="1">
        <v>351564</v>
      </c>
      <c r="F17" s="1">
        <v>22825930</v>
      </c>
      <c r="G17" s="1">
        <v>14865971</v>
      </c>
      <c r="H17">
        <f t="shared" si="0"/>
        <v>5.4616179321218636</v>
      </c>
    </row>
    <row r="18" spans="1:8" x14ac:dyDescent="0.2">
      <c r="A18" s="1">
        <v>4022732</v>
      </c>
      <c r="B18" s="1">
        <v>11162302</v>
      </c>
      <c r="C18" s="1">
        <v>20967235</v>
      </c>
      <c r="D18" s="1">
        <v>11062302</v>
      </c>
      <c r="E18" s="1">
        <v>110548</v>
      </c>
      <c r="F18" s="1">
        <v>16944503</v>
      </c>
      <c r="G18" s="1">
        <v>11673279</v>
      </c>
      <c r="H18">
        <f t="shared" si="0"/>
        <v>3.2767209981154335</v>
      </c>
    </row>
    <row r="19" spans="1:8" x14ac:dyDescent="0.2">
      <c r="A19" s="1">
        <v>-6873012</v>
      </c>
      <c r="B19" s="1">
        <v>1468236</v>
      </c>
      <c r="C19" s="1">
        <v>16714157</v>
      </c>
      <c r="D19" s="1">
        <v>1368236</v>
      </c>
      <c r="E19" s="1">
        <v>103916</v>
      </c>
      <c r="F19" s="1">
        <v>23587169</v>
      </c>
      <c r="G19" s="1">
        <v>1876747</v>
      </c>
      <c r="H19">
        <f t="shared" si="0"/>
        <v>1.4487523577583251E-2</v>
      </c>
    </row>
    <row r="20" spans="1:8" x14ac:dyDescent="0.2">
      <c r="A20" s="1">
        <v>-8261638</v>
      </c>
      <c r="B20" s="1">
        <v>11544410</v>
      </c>
      <c r="C20" s="1">
        <v>11630330</v>
      </c>
      <c r="D20" s="1">
        <v>11444410</v>
      </c>
      <c r="E20" s="1">
        <v>226878</v>
      </c>
      <c r="F20" s="1">
        <v>19891968</v>
      </c>
      <c r="G20" s="1">
        <v>11879381</v>
      </c>
      <c r="H20">
        <f t="shared" si="0"/>
        <v>4.8117166849142325</v>
      </c>
    </row>
    <row r="21" spans="1:8" x14ac:dyDescent="0.2">
      <c r="A21" s="1">
        <v>-225852</v>
      </c>
      <c r="B21" s="1">
        <v>1566182</v>
      </c>
      <c r="C21" s="1">
        <v>19721372</v>
      </c>
      <c r="D21" s="1">
        <v>1466182</v>
      </c>
      <c r="E21" s="1">
        <v>478732</v>
      </c>
      <c r="F21" s="1">
        <v>19947224</v>
      </c>
      <c r="G21" s="1">
        <v>2268761</v>
      </c>
      <c r="H21">
        <f t="shared" si="0"/>
        <v>0.47210265997456147</v>
      </c>
    </row>
  </sheetData>
  <conditionalFormatting sqref="H2:H21">
    <cfRule type="colorScale" priority="1">
      <colorScale>
        <cfvo type="min"/>
        <cfvo type="percentile" val="50"/>
        <cfvo type="max"/>
        <color rgb="FFFF0000"/>
        <color rgb="FFFFEB84"/>
        <color rgb="FF00B050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H21"/>
  <sheetViews>
    <sheetView workbookViewId="0">
      <selection activeCell="J24" sqref="J24"/>
    </sheetView>
  </sheetViews>
  <sheetFormatPr baseColWidth="10" defaultRowHeight="15" x14ac:dyDescent="0.2"/>
  <sheetData>
    <row r="1" spans="1:8" ht="19" x14ac:dyDescent="0.2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12</v>
      </c>
    </row>
    <row r="2" spans="1:8" x14ac:dyDescent="0.2">
      <c r="A2" s="1">
        <v>-2952448</v>
      </c>
      <c r="B2" s="1">
        <v>6526653</v>
      </c>
      <c r="C2" s="1">
        <v>17329098</v>
      </c>
      <c r="D2" s="1">
        <v>6426653</v>
      </c>
      <c r="E2" s="1">
        <v>295961</v>
      </c>
      <c r="F2" s="1">
        <v>20281546</v>
      </c>
      <c r="G2" s="1">
        <v>7420602</v>
      </c>
      <c r="H2">
        <f>Score_Altman(A2,B2,C2,D2,E2,F2,G2)</f>
        <v>1.9832099234295399</v>
      </c>
    </row>
    <row r="3" spans="1:8" x14ac:dyDescent="0.2">
      <c r="A3" s="1">
        <v>1543361</v>
      </c>
      <c r="B3" s="1">
        <v>6638859</v>
      </c>
      <c r="C3" s="1">
        <v>21352018</v>
      </c>
      <c r="D3" s="1">
        <v>6538859</v>
      </c>
      <c r="E3" s="1">
        <v>223577</v>
      </c>
      <c r="F3" s="1">
        <v>19808657</v>
      </c>
      <c r="G3" s="1">
        <v>7089111</v>
      </c>
      <c r="H3">
        <f t="shared" ref="H3:H21" si="0">Score_Altman(A3,B3,C3,D3,E3,F3,G3)</f>
        <v>1.8710779647879272</v>
      </c>
    </row>
    <row r="4" spans="1:8" x14ac:dyDescent="0.2">
      <c r="A4" s="1">
        <v>-5243746</v>
      </c>
      <c r="B4" s="1">
        <v>9332375</v>
      </c>
      <c r="C4" s="1">
        <v>19695101</v>
      </c>
      <c r="D4" s="1">
        <v>9232375</v>
      </c>
      <c r="E4" s="1">
        <v>494116</v>
      </c>
      <c r="F4" s="1">
        <v>24938847</v>
      </c>
      <c r="G4" s="1">
        <v>9470754</v>
      </c>
      <c r="H4">
        <f t="shared" si="0"/>
        <v>2.3830841594167103</v>
      </c>
    </row>
    <row r="5" spans="1:8" x14ac:dyDescent="0.2">
      <c r="A5" s="1">
        <v>-10634262</v>
      </c>
      <c r="B5" s="1">
        <v>6572345</v>
      </c>
      <c r="C5" s="1">
        <v>12962398</v>
      </c>
      <c r="D5" s="1">
        <v>6472345</v>
      </c>
      <c r="E5" s="1">
        <v>274535</v>
      </c>
      <c r="F5" s="1">
        <v>23596660</v>
      </c>
      <c r="G5" s="1">
        <v>7083771</v>
      </c>
      <c r="H5">
        <f t="shared" si="0"/>
        <v>1.9260387490340214</v>
      </c>
    </row>
    <row r="6" spans="1:8" x14ac:dyDescent="0.2">
      <c r="A6" s="1">
        <v>5675282</v>
      </c>
      <c r="B6" s="1">
        <v>8399156</v>
      </c>
      <c r="C6" s="1">
        <v>17984770</v>
      </c>
      <c r="D6" s="1">
        <v>8299156</v>
      </c>
      <c r="E6" s="1">
        <v>464276</v>
      </c>
      <c r="F6" s="1">
        <v>12309488</v>
      </c>
      <c r="G6" s="1">
        <v>8596679</v>
      </c>
      <c r="H6">
        <f t="shared" si="0"/>
        <v>3.0554436905480218</v>
      </c>
    </row>
    <row r="7" spans="1:8" x14ac:dyDescent="0.2">
      <c r="A7" s="1">
        <v>5912342</v>
      </c>
      <c r="B7" s="1">
        <v>13029767</v>
      </c>
      <c r="C7" s="1">
        <v>17336875</v>
      </c>
      <c r="D7" s="1">
        <v>12929767</v>
      </c>
      <c r="E7" s="1">
        <v>170608</v>
      </c>
      <c r="F7" s="1">
        <v>11424533</v>
      </c>
      <c r="G7" s="1">
        <v>13766054</v>
      </c>
      <c r="H7">
        <f t="shared" si="0"/>
        <v>4.7247467112566817</v>
      </c>
    </row>
    <row r="8" spans="1:8" x14ac:dyDescent="0.2">
      <c r="A8" s="1">
        <v>-1273462</v>
      </c>
      <c r="B8" s="1">
        <v>2532301</v>
      </c>
      <c r="C8" s="1">
        <v>14262889</v>
      </c>
      <c r="D8" s="1">
        <v>2432301</v>
      </c>
      <c r="E8" s="1">
        <v>302741</v>
      </c>
      <c r="F8" s="1">
        <v>15536351</v>
      </c>
      <c r="G8" s="1">
        <v>3461521</v>
      </c>
      <c r="H8">
        <f t="shared" si="0"/>
        <v>0.95832447319648262</v>
      </c>
    </row>
    <row r="9" spans="1:8" x14ac:dyDescent="0.2">
      <c r="A9" s="1">
        <v>-2703333</v>
      </c>
      <c r="B9" s="1">
        <v>5781080</v>
      </c>
      <c r="C9" s="1">
        <v>13847753</v>
      </c>
      <c r="D9" s="1">
        <v>5681080</v>
      </c>
      <c r="E9" s="1">
        <v>144752</v>
      </c>
      <c r="F9" s="1">
        <v>16551086</v>
      </c>
      <c r="G9" s="1">
        <v>5983331</v>
      </c>
      <c r="H9">
        <f t="shared" si="0"/>
        <v>2.1409314298837483</v>
      </c>
    </row>
    <row r="10" spans="1:8" x14ac:dyDescent="0.2">
      <c r="A10" s="1">
        <v>11531803</v>
      </c>
      <c r="B10" s="1">
        <v>13246470</v>
      </c>
      <c r="C10" s="1">
        <v>24683986</v>
      </c>
      <c r="D10" s="1">
        <v>13146470</v>
      </c>
      <c r="E10" s="1">
        <v>303524</v>
      </c>
      <c r="F10" s="1">
        <v>13152183</v>
      </c>
      <c r="G10" s="1">
        <v>13955952</v>
      </c>
      <c r="H10">
        <f t="shared" si="0"/>
        <v>3.6481288120937547</v>
      </c>
    </row>
    <row r="11" spans="1:8" x14ac:dyDescent="0.2">
      <c r="A11" s="1">
        <v>-127677</v>
      </c>
      <c r="B11" s="1">
        <v>4905012</v>
      </c>
      <c r="C11" s="1">
        <v>20800746</v>
      </c>
      <c r="D11" s="1">
        <v>4805012</v>
      </c>
      <c r="E11" s="1">
        <v>463601</v>
      </c>
      <c r="F11" s="1">
        <v>20928423</v>
      </c>
      <c r="G11" s="1">
        <v>5554072</v>
      </c>
      <c r="H11">
        <f t="shared" si="0"/>
        <v>1.3651109228159395</v>
      </c>
    </row>
    <row r="12" spans="1:8" x14ac:dyDescent="0.2">
      <c r="A12" s="1">
        <v>-1120625</v>
      </c>
      <c r="B12" s="1">
        <v>9730429</v>
      </c>
      <c r="C12" s="1">
        <v>12657304</v>
      </c>
      <c r="D12" s="1">
        <v>9630429</v>
      </c>
      <c r="E12" s="1">
        <v>416987</v>
      </c>
      <c r="F12" s="1">
        <v>13777929</v>
      </c>
      <c r="G12" s="1">
        <v>10256672</v>
      </c>
      <c r="H12">
        <f t="shared" si="0"/>
        <v>4.3085418899048795</v>
      </c>
    </row>
    <row r="13" spans="1:8" x14ac:dyDescent="0.2">
      <c r="A13" s="1">
        <v>2649626</v>
      </c>
      <c r="B13" s="1">
        <v>5619720</v>
      </c>
      <c r="C13" s="1">
        <v>16789369</v>
      </c>
      <c r="D13" s="1">
        <v>5519720</v>
      </c>
      <c r="E13" s="1">
        <v>158010</v>
      </c>
      <c r="F13" s="1">
        <v>14139743</v>
      </c>
      <c r="G13" s="1">
        <v>5972295</v>
      </c>
      <c r="H13">
        <f t="shared" si="0"/>
        <v>2.1049706790223057</v>
      </c>
    </row>
    <row r="14" spans="1:8" x14ac:dyDescent="0.2">
      <c r="A14" s="1">
        <v>190510</v>
      </c>
      <c r="B14" s="1">
        <v>701461</v>
      </c>
      <c r="C14" s="1">
        <v>15147681</v>
      </c>
      <c r="D14" s="1">
        <v>601461</v>
      </c>
      <c r="E14" s="1">
        <v>117172</v>
      </c>
      <c r="F14" s="1">
        <v>14957171</v>
      </c>
      <c r="G14" s="1">
        <v>1071900</v>
      </c>
      <c r="H14">
        <f t="shared" si="0"/>
        <v>0.28634782144339632</v>
      </c>
    </row>
    <row r="15" spans="1:8" x14ac:dyDescent="0.2">
      <c r="A15" s="1">
        <v>9346037</v>
      </c>
      <c r="B15" s="1">
        <v>13186318</v>
      </c>
      <c r="C15" s="1">
        <v>19394753</v>
      </c>
      <c r="D15" s="1">
        <v>13086318</v>
      </c>
      <c r="E15" s="1">
        <v>317675</v>
      </c>
      <c r="F15" s="1">
        <v>10048716</v>
      </c>
      <c r="G15" s="1">
        <v>13907812</v>
      </c>
      <c r="H15">
        <f t="shared" si="0"/>
        <v>4.4920770429999104</v>
      </c>
    </row>
    <row r="16" spans="1:8" x14ac:dyDescent="0.2">
      <c r="A16" s="1">
        <v>-7959666</v>
      </c>
      <c r="B16" s="1">
        <v>8159588</v>
      </c>
      <c r="C16" s="1">
        <v>12550453</v>
      </c>
      <c r="D16" s="1">
        <v>8059588</v>
      </c>
      <c r="E16" s="1">
        <v>448773</v>
      </c>
      <c r="F16" s="1">
        <v>20510119</v>
      </c>
      <c r="G16" s="1">
        <v>8465488</v>
      </c>
      <c r="H16">
        <f t="shared" si="0"/>
        <v>2.955292013487306</v>
      </c>
    </row>
    <row r="17" spans="1:8" x14ac:dyDescent="0.2">
      <c r="A17" s="1">
        <v>-12912119</v>
      </c>
      <c r="B17" s="1">
        <v>8507030</v>
      </c>
      <c r="C17" s="1">
        <v>11007748</v>
      </c>
      <c r="D17" s="1">
        <v>8407030</v>
      </c>
      <c r="E17" s="1">
        <v>481935</v>
      </c>
      <c r="F17" s="1">
        <v>23919867</v>
      </c>
      <c r="G17" s="1">
        <v>9227676</v>
      </c>
      <c r="H17">
        <f t="shared" si="0"/>
        <v>3.0442208799809389</v>
      </c>
    </row>
    <row r="18" spans="1:8" x14ac:dyDescent="0.2">
      <c r="A18" s="1">
        <v>5220520</v>
      </c>
      <c r="B18" s="1">
        <v>3143929</v>
      </c>
      <c r="C18" s="1">
        <v>21746643</v>
      </c>
      <c r="D18" s="1">
        <v>3043929</v>
      </c>
      <c r="E18" s="1">
        <v>278393</v>
      </c>
      <c r="F18" s="1">
        <v>16526123</v>
      </c>
      <c r="G18" s="1">
        <v>4047922</v>
      </c>
      <c r="H18">
        <f t="shared" si="0"/>
        <v>1.1484423575551594</v>
      </c>
    </row>
    <row r="19" spans="1:8" x14ac:dyDescent="0.2">
      <c r="A19" s="1">
        <v>-3704886</v>
      </c>
      <c r="B19" s="1">
        <v>7581114</v>
      </c>
      <c r="C19" s="1">
        <v>20640504</v>
      </c>
      <c r="D19" s="1">
        <v>7481114</v>
      </c>
      <c r="E19" s="1">
        <v>223073</v>
      </c>
      <c r="F19" s="1">
        <v>24345390</v>
      </c>
      <c r="G19" s="1">
        <v>7889934</v>
      </c>
      <c r="H19">
        <f t="shared" si="0"/>
        <v>1.8822647010704068</v>
      </c>
    </row>
    <row r="20" spans="1:8" x14ac:dyDescent="0.2">
      <c r="A20" s="1">
        <v>1331058</v>
      </c>
      <c r="B20" s="1">
        <v>5193889</v>
      </c>
      <c r="C20" s="1">
        <v>15605653</v>
      </c>
      <c r="D20" s="1">
        <v>5093889</v>
      </c>
      <c r="E20" s="1">
        <v>260482</v>
      </c>
      <c r="F20" s="1">
        <v>14274595</v>
      </c>
      <c r="G20" s="1">
        <v>5580003</v>
      </c>
      <c r="H20">
        <f t="shared" si="0"/>
        <v>2.0136186252210755</v>
      </c>
    </row>
    <row r="21" spans="1:8" x14ac:dyDescent="0.2">
      <c r="A21" s="1">
        <v>575770</v>
      </c>
      <c r="B21" s="1">
        <v>5416779</v>
      </c>
      <c r="C21" s="1">
        <v>15557689</v>
      </c>
      <c r="D21" s="1">
        <v>5316779</v>
      </c>
      <c r="E21" s="1">
        <v>406955</v>
      </c>
      <c r="F21" s="1">
        <v>14981919</v>
      </c>
      <c r="G21" s="1">
        <v>5874074</v>
      </c>
      <c r="H21">
        <f t="shared" si="0"/>
        <v>2.0531032620885483</v>
      </c>
    </row>
  </sheetData>
  <conditionalFormatting sqref="H2:H21">
    <cfRule type="colorScale" priority="1">
      <colorScale>
        <cfvo type="min"/>
        <cfvo type="percentile" val="50"/>
        <cfvo type="max"/>
        <color rgb="FFFF0000"/>
        <color rgb="FFFFEB84"/>
        <color rgb="FF00B050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K24"/>
  <sheetViews>
    <sheetView workbookViewId="0">
      <selection activeCell="F32" sqref="F32"/>
    </sheetView>
  </sheetViews>
  <sheetFormatPr baseColWidth="10" defaultRowHeight="15" x14ac:dyDescent="0.2"/>
  <cols>
    <col min="10" max="10" width="12.5" customWidth="1"/>
  </cols>
  <sheetData>
    <row r="1" spans="1:11" ht="19" x14ac:dyDescent="0.25">
      <c r="A1" s="4" t="s">
        <v>7</v>
      </c>
      <c r="B1" s="4" t="s">
        <v>8</v>
      </c>
      <c r="C1" s="4" t="s">
        <v>9</v>
      </c>
      <c r="D1" s="4" t="s">
        <v>10</v>
      </c>
      <c r="E1" s="4" t="s">
        <v>11</v>
      </c>
    </row>
    <row r="2" spans="1:11" x14ac:dyDescent="0.2">
      <c r="A2">
        <f>Score_Altman('ZONE A'!A2,'ZONE A'!B2,'ZONE A'!C2,'ZONE A'!D2,'ZONE A'!E2,'ZONE A'!F2,'ZONE A'!G2)</f>
        <v>3.7256642357577867</v>
      </c>
      <c r="B2">
        <f>Score_Altman('ZONE B'!A2,'ZONE B'!B2,'ZONE B'!C2,'ZONE B'!D2,'ZONE B'!E2,'ZONE B'!F2,'ZONE B'!G2)</f>
        <v>2.4137014122299512</v>
      </c>
      <c r="C2">
        <f>Score_Altman('ZONE C'!A2,'ZONE C'!B2,'ZONE C'!C2,'ZONE C'!D2,'ZONE C'!E2,'ZONE C'!F2,'ZONE C'!G2)</f>
        <v>2.9483925803838336</v>
      </c>
      <c r="D2">
        <f>Score_Altman('ZONE D'!A2,'ZONE D'!B2,'ZONE D'!C2,'ZONE D'!D2,'ZONE D'!E2,'ZONE D'!F2,'ZONE D'!G2)</f>
        <v>4.1739169837021626</v>
      </c>
      <c r="E2">
        <f>Score_Altman('ZONE E'!A2,'ZONE E'!B2,'ZONE E'!C2,'ZONE E'!D2,'ZONE E'!E2,'ZONE E'!F2,'ZONE E'!G2)</f>
        <v>1.9832099234295399</v>
      </c>
    </row>
    <row r="3" spans="1:11" x14ac:dyDescent="0.2">
      <c r="A3">
        <f>Score_Altman('ZONE A'!A3,'ZONE A'!B3,'ZONE A'!C3,'ZONE A'!D3,'ZONE A'!E3,'ZONE A'!F3,'ZONE A'!G3)</f>
        <v>2.022815501124966</v>
      </c>
      <c r="B3">
        <f>Score_Altman('ZONE B'!A3,'ZONE B'!B3,'ZONE B'!C3,'ZONE B'!D3,'ZONE B'!E3,'ZONE B'!F3,'ZONE B'!G3)</f>
        <v>2.8205031348194871</v>
      </c>
      <c r="C3">
        <f>Score_Altman('ZONE C'!A3,'ZONE C'!B3,'ZONE C'!C3,'ZONE C'!D3,'ZONE C'!E3,'ZONE C'!F3,'ZONE C'!G3)</f>
        <v>2.7667081584741609</v>
      </c>
      <c r="D3">
        <f>Score_Altman('ZONE D'!A3,'ZONE D'!B3,'ZONE D'!C3,'ZONE D'!D3,'ZONE D'!E3,'ZONE D'!F3,'ZONE D'!G3)</f>
        <v>2.0759504603947008</v>
      </c>
      <c r="E3">
        <f>Score_Altman('ZONE E'!A3,'ZONE E'!B3,'ZONE E'!C3,'ZONE E'!D3,'ZONE E'!E3,'ZONE E'!F3,'ZONE E'!G3)</f>
        <v>1.8710779647879272</v>
      </c>
    </row>
    <row r="4" spans="1:11" ht="21" x14ac:dyDescent="0.25">
      <c r="A4">
        <f>Score_Altman('ZONE A'!A4,'ZONE A'!B4,'ZONE A'!C4,'ZONE A'!D4,'ZONE A'!E4,'ZONE A'!F4,'ZONE A'!G4)</f>
        <v>1.0524954660427446</v>
      </c>
      <c r="B4">
        <f>Score_Altman('ZONE B'!A4,'ZONE B'!B4,'ZONE B'!C4,'ZONE B'!D4,'ZONE B'!E4,'ZONE B'!F4,'ZONE B'!G4)</f>
        <v>3.5652233632736023</v>
      </c>
      <c r="C4">
        <f>Score_Altman('ZONE C'!A4,'ZONE C'!B4,'ZONE C'!C4,'ZONE C'!D4,'ZONE C'!E4,'ZONE C'!F4,'ZONE C'!G4)</f>
        <v>1.4511764045879667</v>
      </c>
      <c r="D4">
        <f>Score_Altman('ZONE D'!A4,'ZONE D'!B4,'ZONE D'!C4,'ZONE D'!D4,'ZONE D'!E4,'ZONE D'!F4,'ZONE D'!G4)</f>
        <v>2.0626346260137094</v>
      </c>
      <c r="E4">
        <f>Score_Altman('ZONE E'!A4,'ZONE E'!B4,'ZONE E'!C4,'ZONE E'!D4,'ZONE E'!E4,'ZONE E'!F4,'ZONE E'!G4)</f>
        <v>2.3830841594167103</v>
      </c>
      <c r="J4" s="5" t="s">
        <v>20</v>
      </c>
    </row>
    <row r="5" spans="1:11" x14ac:dyDescent="0.2">
      <c r="A5">
        <f>Score_Altman('ZONE A'!A5,'ZONE A'!B5,'ZONE A'!C5,'ZONE A'!D5,'ZONE A'!E5,'ZONE A'!F5,'ZONE A'!G5)</f>
        <v>5.4192872754814472</v>
      </c>
      <c r="B5">
        <f>Score_Altman('ZONE B'!A5,'ZONE B'!B5,'ZONE B'!C5,'ZONE B'!D5,'ZONE B'!E5,'ZONE B'!F5,'ZONE B'!G5)</f>
        <v>-0.36182077860307349</v>
      </c>
      <c r="C5">
        <f>Score_Altman('ZONE C'!A5,'ZONE C'!B5,'ZONE C'!C5,'ZONE C'!D5,'ZONE C'!E5,'ZONE C'!F5,'ZONE C'!G5)</f>
        <v>2.9527610893913412</v>
      </c>
      <c r="D5">
        <f>Score_Altman('ZONE D'!A5,'ZONE D'!B5,'ZONE D'!C5,'ZONE D'!D5,'ZONE D'!E5,'ZONE D'!F5,'ZONE D'!G5)</f>
        <v>1.8341423982540503</v>
      </c>
      <c r="E5">
        <f>Score_Altman('ZONE E'!A5,'ZONE E'!B5,'ZONE E'!C5,'ZONE E'!D5,'ZONE E'!E5,'ZONE E'!F5,'ZONE E'!G5)</f>
        <v>1.9260387490340214</v>
      </c>
    </row>
    <row r="6" spans="1:11" ht="21" x14ac:dyDescent="0.25">
      <c r="A6">
        <f>Score_Altman('ZONE A'!A6,'ZONE A'!B6,'ZONE A'!C6,'ZONE A'!D6,'ZONE A'!E6,'ZONE A'!F6,'ZONE A'!G6)</f>
        <v>3.4672294700908632</v>
      </c>
      <c r="B6">
        <f>Score_Altman('ZONE B'!A6,'ZONE B'!B6,'ZONE B'!C6,'ZONE B'!D6,'ZONE B'!E6,'ZONE B'!F6,'ZONE B'!G6)</f>
        <v>0.27851368457977776</v>
      </c>
      <c r="C6">
        <f>Score_Altman('ZONE C'!A6,'ZONE C'!B6,'ZONE C'!C6,'ZONE C'!D6,'ZONE C'!E6,'ZONE C'!F6,'ZONE C'!G6)</f>
        <v>3.6642277792858007</v>
      </c>
      <c r="D6">
        <f>Score_Altman('ZONE D'!A6,'ZONE D'!B6,'ZONE D'!C6,'ZONE D'!D6,'ZONE D'!E6,'ZONE D'!F6,'ZONE D'!G6)</f>
        <v>2.3077932495717843</v>
      </c>
      <c r="E6">
        <f>Score_Altman('ZONE E'!A6,'ZONE E'!B6,'ZONE E'!C6,'ZONE E'!D6,'ZONE E'!E6,'ZONE E'!F6,'ZONE E'!G6)</f>
        <v>3.0554436905480218</v>
      </c>
      <c r="J6" s="6" t="s">
        <v>13</v>
      </c>
      <c r="K6" s="5">
        <f>COUNTIF(A2:E21,"&lt;1,81")</f>
        <v>27</v>
      </c>
    </row>
    <row r="7" spans="1:11" ht="21" x14ac:dyDescent="0.25">
      <c r="A7">
        <f>Score_Altman('ZONE A'!A7,'ZONE A'!B7,'ZONE A'!C7,'ZONE A'!D7,'ZONE A'!E7,'ZONE A'!F7,'ZONE A'!G7)</f>
        <v>2.4969501235423692</v>
      </c>
      <c r="B7">
        <f>Score_Altman('ZONE B'!A7,'ZONE B'!B7,'ZONE B'!C7,'ZONE B'!D7,'ZONE B'!E7,'ZONE B'!F7,'ZONE B'!G7)</f>
        <v>2.8743007905340843</v>
      </c>
      <c r="C7">
        <f>Score_Altman('ZONE C'!A7,'ZONE C'!B7,'ZONE C'!C7,'ZONE C'!D7,'ZONE C'!E7,'ZONE C'!F7,'ZONE C'!G7)</f>
        <v>3.6008049353909151</v>
      </c>
      <c r="D7">
        <f>Score_Altman('ZONE D'!A7,'ZONE D'!B7,'ZONE D'!C7,'ZONE D'!D7,'ZONE D'!E7,'ZONE D'!F7,'ZONE D'!G7)</f>
        <v>1.5192087168496207</v>
      </c>
      <c r="E7">
        <f>Score_Altman('ZONE E'!A7,'ZONE E'!B7,'ZONE E'!C7,'ZONE E'!D7,'ZONE E'!E7,'ZONE E'!F7,'ZONE E'!G7)</f>
        <v>4.7247467112566817</v>
      </c>
      <c r="J7" s="7" t="s">
        <v>14</v>
      </c>
      <c r="K7" s="5">
        <f>COUNTIF(A2:E21,"&gt;=1,81")-COUNTIF(A2:E21,"&gt;2,99")</f>
        <v>37</v>
      </c>
    </row>
    <row r="8" spans="1:11" ht="21" x14ac:dyDescent="0.25">
      <c r="A8">
        <f>Score_Altman('ZONE A'!A8,'ZONE A'!B8,'ZONE A'!C8,'ZONE A'!D8,'ZONE A'!E8,'ZONE A'!F8,'ZONE A'!G8)</f>
        <v>2.5531636799767972</v>
      </c>
      <c r="B8">
        <f>Score_Altman('ZONE B'!A8,'ZONE B'!B8,'ZONE B'!C8,'ZONE B'!D8,'ZONE B'!E8,'ZONE B'!F8,'ZONE B'!G8)</f>
        <v>4.3861017546052752</v>
      </c>
      <c r="C8">
        <f>Score_Altman('ZONE C'!A8,'ZONE C'!B8,'ZONE C'!C8,'ZONE C'!D8,'ZONE C'!E8,'ZONE C'!F8,'ZONE C'!G8)</f>
        <v>1.2714110296843359</v>
      </c>
      <c r="D8">
        <f>Score_Altman('ZONE D'!A8,'ZONE D'!B8,'ZONE D'!C8,'ZONE D'!D8,'ZONE D'!E8,'ZONE D'!F8,'ZONE D'!G8)</f>
        <v>4.7233610434768831</v>
      </c>
      <c r="E8">
        <f>Score_Altman('ZONE E'!A8,'ZONE E'!B8,'ZONE E'!C8,'ZONE E'!D8,'ZONE E'!E8,'ZONE E'!F8,'ZONE E'!G8)</f>
        <v>0.95832447319648262</v>
      </c>
      <c r="J8" s="8" t="s">
        <v>15</v>
      </c>
      <c r="K8" s="5">
        <f>COUNTIF(A2:E21,"&gt;=2,99")</f>
        <v>36</v>
      </c>
    </row>
    <row r="9" spans="1:11" x14ac:dyDescent="0.2">
      <c r="A9">
        <f>Score_Altman('ZONE A'!A9,'ZONE A'!B9,'ZONE A'!C9,'ZONE A'!D9,'ZONE A'!E9,'ZONE A'!F9,'ZONE A'!G9)</f>
        <v>1.3520263893393647</v>
      </c>
      <c r="B9">
        <f>Score_Altman('ZONE B'!A9,'ZONE B'!B9,'ZONE B'!C9,'ZONE B'!D9,'ZONE B'!E9,'ZONE B'!F9,'ZONE B'!G9)</f>
        <v>3.0959086029659648</v>
      </c>
      <c r="C9">
        <f>Score_Altman('ZONE C'!A9,'ZONE C'!B9,'ZONE C'!C9,'ZONE C'!D9,'ZONE C'!E9,'ZONE C'!F9,'ZONE C'!G9)</f>
        <v>4.1120273768929883</v>
      </c>
      <c r="D9">
        <f>Score_Altman('ZONE D'!A9,'ZONE D'!B9,'ZONE D'!C9,'ZONE D'!D9,'ZONE D'!E9,'ZONE D'!F9,'ZONE D'!G9)</f>
        <v>0.32120544585633493</v>
      </c>
      <c r="E9">
        <f>Score_Altman('ZONE E'!A9,'ZONE E'!B9,'ZONE E'!C9,'ZONE E'!D9,'ZONE E'!E9,'ZONE E'!F9,'ZONE E'!G9)</f>
        <v>2.1409314298837483</v>
      </c>
    </row>
    <row r="10" spans="1:11" x14ac:dyDescent="0.2">
      <c r="A10">
        <f>Score_Altman('ZONE A'!A10,'ZONE A'!B10,'ZONE A'!C10,'ZONE A'!D10,'ZONE A'!E10,'ZONE A'!F10,'ZONE A'!G10)</f>
        <v>1.9715535379088278</v>
      </c>
      <c r="B10">
        <f>Score_Altman('ZONE B'!A10,'ZONE B'!B10,'ZONE B'!C10,'ZONE B'!D10,'ZONE B'!E10,'ZONE B'!F10,'ZONE B'!G10)</f>
        <v>4.4180015014373462</v>
      </c>
      <c r="C10">
        <f>Score_Altman('ZONE C'!A10,'ZONE C'!B10,'ZONE C'!C10,'ZONE C'!D10,'ZONE C'!E10,'ZONE C'!F10,'ZONE C'!G10)</f>
        <v>1.9469759979674783</v>
      </c>
      <c r="D10">
        <f>Score_Altman('ZONE D'!A10,'ZONE D'!B10,'ZONE D'!C10,'ZONE D'!D10,'ZONE D'!E10,'ZONE D'!F10,'ZONE D'!G10)</f>
        <v>3.4297470434034913</v>
      </c>
      <c r="E10">
        <f>Score_Altman('ZONE E'!A10,'ZONE E'!B10,'ZONE E'!C10,'ZONE E'!D10,'ZONE E'!E10,'ZONE E'!F10,'ZONE E'!G10)</f>
        <v>3.6481288120937547</v>
      </c>
    </row>
    <row r="11" spans="1:11" x14ac:dyDescent="0.2">
      <c r="A11">
        <f>Score_Altman('ZONE A'!A11,'ZONE A'!B11,'ZONE A'!C11,'ZONE A'!D11,'ZONE A'!E11,'ZONE A'!F11,'ZONE A'!G11)</f>
        <v>4.1230445131669917</v>
      </c>
      <c r="B11">
        <f>Score_Altman('ZONE B'!A11,'ZONE B'!B11,'ZONE B'!C11,'ZONE B'!D11,'ZONE B'!E11,'ZONE B'!F11,'ZONE B'!G11)</f>
        <v>2.1980203761131691</v>
      </c>
      <c r="C11">
        <f>Score_Altman('ZONE C'!A11,'ZONE C'!B11,'ZONE C'!C11,'ZONE C'!D11,'ZONE C'!E11,'ZONE C'!F11,'ZONE C'!G11)</f>
        <v>1.8111439104938636</v>
      </c>
      <c r="D11">
        <f>Score_Altman('ZONE D'!A11,'ZONE D'!B11,'ZONE D'!C11,'ZONE D'!D11,'ZONE D'!E11,'ZONE D'!F11,'ZONE D'!G11)</f>
        <v>2.8166188433304828</v>
      </c>
      <c r="E11">
        <f>Score_Altman('ZONE E'!A11,'ZONE E'!B11,'ZONE E'!C11,'ZONE E'!D11,'ZONE E'!E11,'ZONE E'!F11,'ZONE E'!G11)</f>
        <v>1.3651109228159395</v>
      </c>
    </row>
    <row r="12" spans="1:11" x14ac:dyDescent="0.2">
      <c r="A12">
        <f>Score_Altman('ZONE A'!A12,'ZONE A'!B12,'ZONE A'!C12,'ZONE A'!D12,'ZONE A'!E12,'ZONE A'!F12,'ZONE A'!G12)</f>
        <v>0.68745299725557452</v>
      </c>
      <c r="B12">
        <f>Score_Altman('ZONE B'!A12,'ZONE B'!B12,'ZONE B'!C12,'ZONE B'!D12,'ZONE B'!E12,'ZONE B'!F12,'ZONE B'!G12)</f>
        <v>3.1656267793836776</v>
      </c>
      <c r="C12">
        <f>Score_Altman('ZONE C'!A12,'ZONE C'!B12,'ZONE C'!C12,'ZONE C'!D12,'ZONE C'!E12,'ZONE C'!F12,'ZONE C'!G12)</f>
        <v>2.3347155483481727</v>
      </c>
      <c r="D12">
        <f>Score_Altman('ZONE D'!A12,'ZONE D'!B12,'ZONE D'!C12,'ZONE D'!D12,'ZONE D'!E12,'ZONE D'!F12,'ZONE D'!G12)</f>
        <v>3.2431464177574241</v>
      </c>
      <c r="E12">
        <f>Score_Altman('ZONE E'!A12,'ZONE E'!B12,'ZONE E'!C12,'ZONE E'!D12,'ZONE E'!E12,'ZONE E'!F12,'ZONE E'!G12)</f>
        <v>4.3085418899048795</v>
      </c>
    </row>
    <row r="13" spans="1:11" x14ac:dyDescent="0.2">
      <c r="A13">
        <f>Score_Altman('ZONE A'!A13,'ZONE A'!B13,'ZONE A'!C13,'ZONE A'!D13,'ZONE A'!E13,'ZONE A'!F13,'ZONE A'!G13)</f>
        <v>1.7693206625034377</v>
      </c>
      <c r="B13">
        <f>Score_Altman('ZONE B'!A13,'ZONE B'!B13,'ZONE B'!C13,'ZONE B'!D13,'ZONE B'!E13,'ZONE B'!F13,'ZONE B'!G13)</f>
        <v>4.7870490154336096</v>
      </c>
      <c r="C13">
        <f>Score_Altman('ZONE C'!A13,'ZONE C'!B13,'ZONE C'!C13,'ZONE C'!D13,'ZONE C'!E13,'ZONE C'!F13,'ZONE C'!G13)</f>
        <v>1.0297422458274885</v>
      </c>
      <c r="D13">
        <f>Score_Altman('ZONE D'!A13,'ZONE D'!B13,'ZONE D'!C13,'ZONE D'!D13,'ZONE D'!E13,'ZONE D'!F13,'ZONE D'!G13)</f>
        <v>0.52165811657666439</v>
      </c>
      <c r="E13">
        <f>Score_Altman('ZONE E'!A13,'ZONE E'!B13,'ZONE E'!C13,'ZONE E'!D13,'ZONE E'!E13,'ZONE E'!F13,'ZONE E'!G13)</f>
        <v>2.1049706790223057</v>
      </c>
    </row>
    <row r="14" spans="1:11" x14ac:dyDescent="0.2">
      <c r="A14">
        <f>Score_Altman('ZONE A'!A14,'ZONE A'!B14,'ZONE A'!C14,'ZONE A'!D14,'ZONE A'!E14,'ZONE A'!F14,'ZONE A'!G14)</f>
        <v>1.1813897705145358</v>
      </c>
      <c r="B14">
        <f>Score_Altman('ZONE B'!A14,'ZONE B'!B14,'ZONE B'!C14,'ZONE B'!D14,'ZONE B'!E14,'ZONE B'!F14,'ZONE B'!G14)</f>
        <v>1.779422605881855</v>
      </c>
      <c r="C14">
        <f>Score_Altman('ZONE C'!A14,'ZONE C'!B14,'ZONE C'!C14,'ZONE C'!D14,'ZONE C'!E14,'ZONE C'!F14,'ZONE C'!G14)</f>
        <v>4.1155364104236849</v>
      </c>
      <c r="D14">
        <f>Score_Altman('ZONE D'!A14,'ZONE D'!B14,'ZONE D'!C14,'ZONE D'!D14,'ZONE D'!E14,'ZONE D'!F14,'ZONE D'!G14)</f>
        <v>2.2176795695351146</v>
      </c>
      <c r="E14">
        <f>Score_Altman('ZONE E'!A14,'ZONE E'!B14,'ZONE E'!C14,'ZONE E'!D14,'ZONE E'!E14,'ZONE E'!F14,'ZONE E'!G14)</f>
        <v>0.28634782144339632</v>
      </c>
    </row>
    <row r="15" spans="1:11" x14ac:dyDescent="0.2">
      <c r="A15">
        <f>Score_Altman('ZONE A'!A15,'ZONE A'!B15,'ZONE A'!C15,'ZONE A'!D15,'ZONE A'!E15,'ZONE A'!F15,'ZONE A'!G15)</f>
        <v>0.67225230100045819</v>
      </c>
      <c r="B15">
        <f>Score_Altman('ZONE B'!A15,'ZONE B'!B15,'ZONE B'!C15,'ZONE B'!D15,'ZONE B'!E15,'ZONE B'!F15,'ZONE B'!G15)</f>
        <v>2.1461522138097835</v>
      </c>
      <c r="C15">
        <f>Score_Altman('ZONE C'!A15,'ZONE C'!B15,'ZONE C'!C15,'ZONE C'!D15,'ZONE C'!E15,'ZONE C'!F15,'ZONE C'!G15)</f>
        <v>2.4772210291376418</v>
      </c>
      <c r="D15">
        <f>Score_Altman('ZONE D'!A15,'ZONE D'!B15,'ZONE D'!C15,'ZONE D'!D15,'ZONE D'!E15,'ZONE D'!F15,'ZONE D'!G15)</f>
        <v>1.6434557400322403</v>
      </c>
      <c r="E15">
        <f>Score_Altman('ZONE E'!A15,'ZONE E'!B15,'ZONE E'!C15,'ZONE E'!D15,'ZONE E'!E15,'ZONE E'!F15,'ZONE E'!G15)</f>
        <v>4.4920770429999104</v>
      </c>
    </row>
    <row r="16" spans="1:11" x14ac:dyDescent="0.2">
      <c r="A16">
        <f>Score_Altman('ZONE A'!A16,'ZONE A'!B16,'ZONE A'!C16,'ZONE A'!D16,'ZONE A'!E16,'ZONE A'!F16,'ZONE A'!G16)</f>
        <v>2.7409627818064171</v>
      </c>
      <c r="B16">
        <f>Score_Altman('ZONE B'!A16,'ZONE B'!B16,'ZONE B'!C16,'ZONE B'!D16,'ZONE B'!E16,'ZONE B'!F16,'ZONE B'!G16)</f>
        <v>3.6417554704447808</v>
      </c>
      <c r="C16">
        <f>Score_Altman('ZONE C'!A16,'ZONE C'!B16,'ZONE C'!C16,'ZONE C'!D16,'ZONE C'!E16,'ZONE C'!F16,'ZONE C'!G16)</f>
        <v>3.2721716221007062</v>
      </c>
      <c r="D16">
        <f>Score_Altman('ZONE D'!A16,'ZONE D'!B16,'ZONE D'!C16,'ZONE D'!D16,'ZONE D'!E16,'ZONE D'!F16,'ZONE D'!G16)</f>
        <v>3.9256741578419745</v>
      </c>
      <c r="E16">
        <f>Score_Altman('ZONE E'!A16,'ZONE E'!B16,'ZONE E'!C16,'ZONE E'!D16,'ZONE E'!E16,'ZONE E'!F16,'ZONE E'!G16)</f>
        <v>2.955292013487306</v>
      </c>
    </row>
    <row r="17" spans="1:5" x14ac:dyDescent="0.2">
      <c r="A17">
        <f>Score_Altman('ZONE A'!A17,'ZONE A'!B17,'ZONE A'!C17,'ZONE A'!D17,'ZONE A'!E17,'ZONE A'!F17,'ZONE A'!G17)</f>
        <v>2.9628114092384465</v>
      </c>
      <c r="B17">
        <f>Score_Altman('ZONE B'!A17,'ZONE B'!B17,'ZONE B'!C17,'ZONE B'!D17,'ZONE B'!E17,'ZONE B'!F17,'ZONE B'!G17)</f>
        <v>0.92058455878652834</v>
      </c>
      <c r="C17">
        <f>Score_Altman('ZONE C'!A17,'ZONE C'!B17,'ZONE C'!C17,'ZONE C'!D17,'ZONE C'!E17,'ZONE C'!F17,'ZONE C'!G17)</f>
        <v>-0.84737226122610998</v>
      </c>
      <c r="D17">
        <f>Score_Altman('ZONE D'!A17,'ZONE D'!B17,'ZONE D'!C17,'ZONE D'!D17,'ZONE D'!E17,'ZONE D'!F17,'ZONE D'!G17)</f>
        <v>5.4616179321218636</v>
      </c>
      <c r="E17">
        <f>Score_Altman('ZONE E'!A17,'ZONE E'!B17,'ZONE E'!C17,'ZONE E'!D17,'ZONE E'!E17,'ZONE E'!F17,'ZONE E'!G17)</f>
        <v>3.0442208799809389</v>
      </c>
    </row>
    <row r="18" spans="1:5" x14ac:dyDescent="0.2">
      <c r="A18">
        <f>Score_Altman('ZONE A'!A18,'ZONE A'!B18,'ZONE A'!C18,'ZONE A'!D18,'ZONE A'!E18,'ZONE A'!F18,'ZONE A'!G18)</f>
        <v>3.5286206172189392</v>
      </c>
      <c r="B18">
        <f>Score_Altman('ZONE B'!A18,'ZONE B'!B18,'ZONE B'!C18,'ZONE B'!D18,'ZONE B'!E18,'ZONE B'!F18,'ZONE B'!G18)</f>
        <v>2.7479305289782454</v>
      </c>
      <c r="C18">
        <f>Score_Altman('ZONE C'!A18,'ZONE C'!B18,'ZONE C'!C18,'ZONE C'!D18,'ZONE C'!E18,'ZONE C'!F18,'ZONE C'!G18)</f>
        <v>5.2657809264820763</v>
      </c>
      <c r="D18">
        <f>Score_Altman('ZONE D'!A18,'ZONE D'!B18,'ZONE D'!C18,'ZONE D'!D18,'ZONE D'!E18,'ZONE D'!F18,'ZONE D'!G18)</f>
        <v>3.2767209981154335</v>
      </c>
      <c r="E18">
        <f>Score_Altman('ZONE E'!A18,'ZONE E'!B18,'ZONE E'!C18,'ZONE E'!D18,'ZONE E'!E18,'ZONE E'!F18,'ZONE E'!G18)</f>
        <v>1.1484423575551594</v>
      </c>
    </row>
    <row r="19" spans="1:5" x14ac:dyDescent="0.2">
      <c r="A19">
        <f>Score_Altman('ZONE A'!A19,'ZONE A'!B19,'ZONE A'!C19,'ZONE A'!D19,'ZONE A'!E19,'ZONE A'!F19,'ZONE A'!G19)</f>
        <v>1.9019956661183672</v>
      </c>
      <c r="B19">
        <f>Score_Altman('ZONE B'!A19,'ZONE B'!B19,'ZONE B'!C19,'ZONE B'!D19,'ZONE B'!E19,'ZONE B'!F19,'ZONE B'!G19)</f>
        <v>1.0453681702725734</v>
      </c>
      <c r="C19">
        <f>Score_Altman('ZONE C'!A19,'ZONE C'!B19,'ZONE C'!C19,'ZONE C'!D19,'ZONE C'!E19,'ZONE C'!F19,'ZONE C'!G19)</f>
        <v>3.4142665350455639</v>
      </c>
      <c r="D19">
        <f>Score_Altman('ZONE D'!A19,'ZONE D'!B19,'ZONE D'!C19,'ZONE D'!D19,'ZONE D'!E19,'ZONE D'!F19,'ZONE D'!G19)</f>
        <v>1.4487523577583251E-2</v>
      </c>
      <c r="E19">
        <f>Score_Altman('ZONE E'!A19,'ZONE E'!B19,'ZONE E'!C19,'ZONE E'!D19,'ZONE E'!E19,'ZONE E'!F19,'ZONE E'!G19)</f>
        <v>1.8822647010704068</v>
      </c>
    </row>
    <row r="20" spans="1:5" x14ac:dyDescent="0.2">
      <c r="A20">
        <f>Score_Altman('ZONE A'!A20,'ZONE A'!B20,'ZONE A'!C20,'ZONE A'!D20,'ZONE A'!E20,'ZONE A'!F20,'ZONE A'!G20)</f>
        <v>3.1514402150388876</v>
      </c>
      <c r="B20">
        <f>Score_Altman('ZONE B'!A20,'ZONE B'!B20,'ZONE B'!C20,'ZONE B'!D20,'ZONE B'!E20,'ZONE B'!F20,'ZONE B'!G20)</f>
        <v>4.5444856009559746</v>
      </c>
      <c r="C20">
        <f>Score_Altman('ZONE C'!A20,'ZONE C'!B20,'ZONE C'!C20,'ZONE C'!D20,'ZONE C'!E20,'ZONE C'!F20,'ZONE C'!G20)</f>
        <v>1.4701666042188455</v>
      </c>
      <c r="D20">
        <f>Score_Altman('ZONE D'!A20,'ZONE D'!B20,'ZONE D'!C20,'ZONE D'!D20,'ZONE D'!E20,'ZONE D'!F20,'ZONE D'!G20)</f>
        <v>4.8117166849142325</v>
      </c>
      <c r="E20">
        <f>Score_Altman('ZONE E'!A20,'ZONE E'!B20,'ZONE E'!C20,'ZONE E'!D20,'ZONE E'!E20,'ZONE E'!F20,'ZONE E'!G20)</f>
        <v>2.0136186252210755</v>
      </c>
    </row>
    <row r="21" spans="1:5" x14ac:dyDescent="0.2">
      <c r="A21">
        <f>Score_Altman('ZONE A'!A21,'ZONE A'!B21,'ZONE A'!C21,'ZONE A'!D21,'ZONE A'!E21,'ZONE A'!F21,'ZONE A'!G21)</f>
        <v>0.45246067042608756</v>
      </c>
      <c r="B21">
        <f>Score_Altman('ZONE B'!A21,'ZONE B'!B21,'ZONE B'!C21,'ZONE B'!D21,'ZONE B'!E21,'ZONE B'!F21,'ZONE B'!G21)</f>
        <v>2.5016483353282704</v>
      </c>
      <c r="C21">
        <f>Score_Altman('ZONE C'!A21,'ZONE C'!B21,'ZONE C'!C21,'ZONE C'!D21,'ZONE C'!E21,'ZONE C'!F21,'ZONE C'!G21)</f>
        <v>3.3947584178554155</v>
      </c>
      <c r="D21">
        <f>Score_Altman('ZONE D'!A21,'ZONE D'!B21,'ZONE D'!C21,'ZONE D'!D21,'ZONE D'!E21,'ZONE D'!F21,'ZONE D'!G21)</f>
        <v>0.47210265997456147</v>
      </c>
      <c r="E21">
        <f>Score_Altman('ZONE E'!A21,'ZONE E'!B21,'ZONE E'!C21,'ZONE E'!D21,'ZONE E'!E21,'ZONE E'!F21,'ZONE E'!G21)</f>
        <v>2.0531032620885483</v>
      </c>
    </row>
    <row r="24" spans="1:5" ht="19" x14ac:dyDescent="0.25">
      <c r="B24" s="11"/>
    </row>
  </sheetData>
  <conditionalFormatting sqref="A2:E21">
    <cfRule type="colorScale" priority="1">
      <colorScale>
        <cfvo type="min"/>
        <cfvo type="percentile" val="50"/>
        <cfvo type="max"/>
        <color rgb="FFFF0000"/>
        <color rgb="FFFFFF00"/>
        <color rgb="FF00B050"/>
      </colorScale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R40"/>
  <sheetViews>
    <sheetView workbookViewId="0">
      <selection activeCell="J34" sqref="J34"/>
    </sheetView>
  </sheetViews>
  <sheetFormatPr baseColWidth="10" defaultRowHeight="15" x14ac:dyDescent="0.2"/>
  <sheetData>
    <row r="1" spans="1:18" ht="21" x14ac:dyDescent="0.25">
      <c r="A1" s="5" t="s">
        <v>16</v>
      </c>
      <c r="K1" s="5" t="s">
        <v>17</v>
      </c>
    </row>
    <row r="2" spans="1:18" ht="21" x14ac:dyDescent="0.25">
      <c r="A2" s="5"/>
      <c r="K2" s="5"/>
    </row>
    <row r="3" spans="1:18" ht="19" x14ac:dyDescent="0.2">
      <c r="A3" s="10" t="s">
        <v>0</v>
      </c>
      <c r="B3" s="10" t="s">
        <v>1</v>
      </c>
      <c r="C3" s="10" t="s">
        <v>2</v>
      </c>
      <c r="D3" s="10" t="s">
        <v>3</v>
      </c>
      <c r="E3" s="10" t="s">
        <v>4</v>
      </c>
      <c r="F3" s="10" t="s">
        <v>5</v>
      </c>
      <c r="G3" s="10" t="s">
        <v>6</v>
      </c>
      <c r="H3" s="10" t="s">
        <v>12</v>
      </c>
      <c r="K3" s="10" t="s">
        <v>0</v>
      </c>
      <c r="L3" s="10" t="s">
        <v>1</v>
      </c>
      <c r="M3" s="10" t="s">
        <v>2</v>
      </c>
      <c r="N3" s="10" t="s">
        <v>3</v>
      </c>
      <c r="O3" s="10" t="s">
        <v>4</v>
      </c>
      <c r="P3" s="10" t="s">
        <v>5</v>
      </c>
      <c r="Q3" s="10" t="s">
        <v>6</v>
      </c>
      <c r="R3" s="10" t="s">
        <v>12</v>
      </c>
    </row>
    <row r="4" spans="1:18" x14ac:dyDescent="0.2">
      <c r="A4" s="1">
        <v>5697159</v>
      </c>
      <c r="B4" s="1">
        <v>3196660</v>
      </c>
      <c r="C4" s="1">
        <v>24032434</v>
      </c>
      <c r="D4" s="1">
        <v>3096660</v>
      </c>
      <c r="E4" s="1">
        <v>123104</v>
      </c>
      <c r="F4" s="1">
        <v>18335275</v>
      </c>
      <c r="G4" s="1">
        <v>3669992</v>
      </c>
      <c r="H4">
        <f>Score_Altman(A4,B4,C4,D4,E4,F4,G4)</f>
        <v>1.0524954660427446</v>
      </c>
      <c r="K4" s="1">
        <v>25099</v>
      </c>
      <c r="L4" s="1">
        <v>4788760</v>
      </c>
      <c r="M4" s="1">
        <v>13566555</v>
      </c>
      <c r="N4" s="1">
        <v>4688760</v>
      </c>
      <c r="O4" s="1">
        <v>304782</v>
      </c>
      <c r="P4" s="1">
        <v>13541456</v>
      </c>
      <c r="Q4" s="1">
        <v>5057196</v>
      </c>
      <c r="R4">
        <f>Score_Altman(K4,L4,M4,N4,O4,P4,Q4)</f>
        <v>2.022815501124966</v>
      </c>
    </row>
    <row r="5" spans="1:18" x14ac:dyDescent="0.2">
      <c r="A5" s="1">
        <v>7220041</v>
      </c>
      <c r="B5" s="1">
        <v>3141192</v>
      </c>
      <c r="C5" s="1">
        <v>19726999</v>
      </c>
      <c r="D5" s="1">
        <v>3041192</v>
      </c>
      <c r="E5" s="1">
        <v>113888</v>
      </c>
      <c r="F5" s="1">
        <v>12506958</v>
      </c>
      <c r="G5" s="1">
        <v>3469461</v>
      </c>
      <c r="H5">
        <f t="shared" ref="H5:H30" si="0">Score_Altman(A5,B5,C5,D5,E5,F5,G5)</f>
        <v>1.3520263893393647</v>
      </c>
      <c r="K5" s="1">
        <v>14124528</v>
      </c>
      <c r="L5" s="1">
        <v>7460138</v>
      </c>
      <c r="M5" s="1">
        <v>24258979</v>
      </c>
      <c r="N5" s="1">
        <v>7360138</v>
      </c>
      <c r="O5" s="1">
        <v>458504</v>
      </c>
      <c r="P5" s="1">
        <v>10134451</v>
      </c>
      <c r="Q5" s="1">
        <v>8241103</v>
      </c>
      <c r="R5">
        <f t="shared" ref="R5:R40" si="1">Score_Altman(K5,L5,M5,N5,O5,P5,Q5)</f>
        <v>2.4969501235423692</v>
      </c>
    </row>
    <row r="6" spans="1:18" x14ac:dyDescent="0.2">
      <c r="A6" s="1">
        <v>162202</v>
      </c>
      <c r="B6" s="1">
        <v>2707649</v>
      </c>
      <c r="C6" s="1">
        <v>23575056</v>
      </c>
      <c r="D6" s="1">
        <v>2607649</v>
      </c>
      <c r="E6" s="1">
        <v>245758</v>
      </c>
      <c r="F6" s="1">
        <v>23412854</v>
      </c>
      <c r="G6" s="1">
        <v>3471145</v>
      </c>
      <c r="H6">
        <f t="shared" si="0"/>
        <v>0.68745299725557452</v>
      </c>
      <c r="K6" s="1">
        <v>1559563</v>
      </c>
      <c r="L6" s="1">
        <v>8221100</v>
      </c>
      <c r="M6" s="1">
        <v>19201074</v>
      </c>
      <c r="N6" s="1">
        <v>8121100</v>
      </c>
      <c r="O6" s="1">
        <v>410821</v>
      </c>
      <c r="P6" s="1">
        <v>17641511</v>
      </c>
      <c r="Q6" s="1">
        <v>8583139</v>
      </c>
      <c r="R6">
        <f t="shared" si="1"/>
        <v>2.5531636799767972</v>
      </c>
    </row>
    <row r="7" spans="1:18" x14ac:dyDescent="0.2">
      <c r="A7" s="1">
        <v>10279145</v>
      </c>
      <c r="B7" s="1">
        <v>4100015</v>
      </c>
      <c r="C7" s="1">
        <v>20671895</v>
      </c>
      <c r="D7" s="1">
        <v>4000015</v>
      </c>
      <c r="E7" s="1">
        <v>340240</v>
      </c>
      <c r="F7" s="1">
        <v>10392750</v>
      </c>
      <c r="G7" s="1">
        <v>4899009</v>
      </c>
      <c r="H7">
        <f t="shared" si="0"/>
        <v>1.7693206625034377</v>
      </c>
      <c r="K7" s="1">
        <v>-7705792</v>
      </c>
      <c r="L7" s="1">
        <v>6297910</v>
      </c>
      <c r="M7" s="1">
        <v>13749043</v>
      </c>
      <c r="N7" s="1">
        <v>6197910</v>
      </c>
      <c r="O7" s="1">
        <v>223844</v>
      </c>
      <c r="P7" s="1">
        <v>21454835</v>
      </c>
      <c r="Q7" s="1">
        <v>7004684</v>
      </c>
      <c r="R7">
        <f t="shared" si="1"/>
        <v>1.9715535379088278</v>
      </c>
    </row>
    <row r="8" spans="1:18" x14ac:dyDescent="0.2">
      <c r="A8" s="1">
        <v>-816657</v>
      </c>
      <c r="B8" s="1">
        <v>3314632</v>
      </c>
      <c r="C8" s="1">
        <v>15620529</v>
      </c>
      <c r="D8" s="1">
        <v>3214632</v>
      </c>
      <c r="E8" s="1">
        <v>223387</v>
      </c>
      <c r="F8" s="1">
        <v>16437186</v>
      </c>
      <c r="G8" s="1">
        <v>4061840</v>
      </c>
      <c r="H8">
        <f t="shared" si="0"/>
        <v>1.1813897705145358</v>
      </c>
      <c r="K8" s="1">
        <v>11803165</v>
      </c>
      <c r="L8" s="1">
        <v>9120635</v>
      </c>
      <c r="M8" s="1">
        <v>24192612</v>
      </c>
      <c r="N8" s="1">
        <v>9020635</v>
      </c>
      <c r="O8" s="1">
        <v>189359</v>
      </c>
      <c r="P8" s="1">
        <v>12389447</v>
      </c>
      <c r="Q8" s="1">
        <v>9397810</v>
      </c>
      <c r="R8">
        <f t="shared" si="1"/>
        <v>2.7409627818064171</v>
      </c>
    </row>
    <row r="9" spans="1:18" x14ac:dyDescent="0.2">
      <c r="A9" s="1">
        <v>-4693175</v>
      </c>
      <c r="B9" s="1">
        <v>2622315</v>
      </c>
      <c r="C9" s="1">
        <v>14177487</v>
      </c>
      <c r="D9" s="1">
        <v>2522315</v>
      </c>
      <c r="E9" s="1">
        <v>407920</v>
      </c>
      <c r="F9" s="1">
        <v>18870662</v>
      </c>
      <c r="G9" s="1">
        <v>2986883</v>
      </c>
      <c r="H9">
        <f t="shared" si="0"/>
        <v>0.67225230100045819</v>
      </c>
      <c r="K9" s="1">
        <v>5183016</v>
      </c>
      <c r="L9" s="1">
        <v>8787655</v>
      </c>
      <c r="M9" s="1">
        <v>19195036</v>
      </c>
      <c r="N9" s="1">
        <v>8687655</v>
      </c>
      <c r="O9" s="1">
        <v>123284</v>
      </c>
      <c r="P9" s="1">
        <v>14012020</v>
      </c>
      <c r="Q9" s="1">
        <v>9587930</v>
      </c>
      <c r="R9">
        <f t="shared" si="1"/>
        <v>2.9628114092384465</v>
      </c>
    </row>
    <row r="10" spans="1:18" x14ac:dyDescent="0.2">
      <c r="A10" s="1">
        <v>-5685903</v>
      </c>
      <c r="B10" s="1">
        <v>2132209</v>
      </c>
      <c r="C10" s="1">
        <v>12453407</v>
      </c>
      <c r="D10" s="1">
        <v>2032209</v>
      </c>
      <c r="E10" s="1">
        <v>308071</v>
      </c>
      <c r="F10" s="1">
        <v>18139310</v>
      </c>
      <c r="G10" s="1">
        <v>2642118</v>
      </c>
      <c r="H10">
        <f t="shared" si="0"/>
        <v>0.45246067042608756</v>
      </c>
      <c r="K10" s="1">
        <v>2034404</v>
      </c>
      <c r="L10" s="1">
        <v>6354879</v>
      </c>
      <c r="M10" s="1">
        <v>20751230</v>
      </c>
      <c r="N10" s="1">
        <v>6254879</v>
      </c>
      <c r="O10" s="1">
        <v>326177</v>
      </c>
      <c r="P10" s="1">
        <v>18716826</v>
      </c>
      <c r="Q10" s="1">
        <v>7279835</v>
      </c>
      <c r="R10">
        <f t="shared" si="1"/>
        <v>1.9019956661183672</v>
      </c>
    </row>
    <row r="11" spans="1:18" x14ac:dyDescent="0.2">
      <c r="A11" s="1">
        <v>-4705002</v>
      </c>
      <c r="B11" s="1">
        <v>49854</v>
      </c>
      <c r="C11" s="1">
        <v>12760474</v>
      </c>
      <c r="D11" s="1">
        <v>-50146</v>
      </c>
      <c r="E11" s="1">
        <v>264554</v>
      </c>
      <c r="F11" s="1">
        <v>17465476</v>
      </c>
      <c r="G11" s="1">
        <v>1009722</v>
      </c>
      <c r="H11">
        <f t="shared" si="0"/>
        <v>-0.36182077860307349</v>
      </c>
      <c r="K11" s="1">
        <v>10239761</v>
      </c>
      <c r="L11" s="1">
        <v>7216077</v>
      </c>
      <c r="M11" s="1">
        <v>22323551</v>
      </c>
      <c r="N11" s="1">
        <v>7116077</v>
      </c>
      <c r="O11" s="1">
        <v>181379</v>
      </c>
      <c r="P11" s="1">
        <v>12083790</v>
      </c>
      <c r="Q11" s="1">
        <v>7815880</v>
      </c>
      <c r="R11">
        <f t="shared" si="1"/>
        <v>2.4137014122299512</v>
      </c>
    </row>
    <row r="12" spans="1:18" x14ac:dyDescent="0.2">
      <c r="A12" s="1">
        <v>-8007787</v>
      </c>
      <c r="B12" s="1">
        <v>2257975</v>
      </c>
      <c r="C12" s="1">
        <v>13637467</v>
      </c>
      <c r="D12" s="1">
        <v>2157975</v>
      </c>
      <c r="E12" s="1">
        <v>225825</v>
      </c>
      <c r="F12" s="1">
        <v>21645254</v>
      </c>
      <c r="G12" s="1">
        <v>3042758</v>
      </c>
      <c r="H12">
        <f t="shared" si="0"/>
        <v>0.27851368457977776</v>
      </c>
      <c r="K12" s="1">
        <v>-5188964</v>
      </c>
      <c r="L12" s="1">
        <v>6301456</v>
      </c>
      <c r="M12" s="1">
        <v>10585803</v>
      </c>
      <c r="N12" s="1">
        <v>6201456</v>
      </c>
      <c r="O12" s="1">
        <v>481592</v>
      </c>
      <c r="P12" s="1">
        <v>15774767</v>
      </c>
      <c r="Q12" s="1">
        <v>6609908</v>
      </c>
      <c r="R12">
        <f t="shared" si="1"/>
        <v>2.8205031348194871</v>
      </c>
    </row>
    <row r="13" spans="1:18" x14ac:dyDescent="0.2">
      <c r="A13" s="1">
        <v>9684313</v>
      </c>
      <c r="B13" s="1">
        <v>4759231</v>
      </c>
      <c r="C13" s="1">
        <v>22248542</v>
      </c>
      <c r="D13" s="1">
        <v>4659231</v>
      </c>
      <c r="E13" s="1">
        <v>344243</v>
      </c>
      <c r="F13" s="1">
        <v>12564229</v>
      </c>
      <c r="G13" s="1">
        <v>5569819</v>
      </c>
      <c r="H13">
        <f t="shared" si="0"/>
        <v>1.779422605881855</v>
      </c>
      <c r="K13" s="1">
        <v>8443487</v>
      </c>
      <c r="L13" s="1">
        <v>7677471</v>
      </c>
      <c r="M13" s="1">
        <v>18950949</v>
      </c>
      <c r="N13" s="1">
        <v>7577471</v>
      </c>
      <c r="O13" s="1">
        <v>138883</v>
      </c>
      <c r="P13" s="1">
        <v>10507462</v>
      </c>
      <c r="Q13" s="1">
        <v>8442581</v>
      </c>
      <c r="R13">
        <f t="shared" si="1"/>
        <v>2.8743007905340843</v>
      </c>
    </row>
    <row r="14" spans="1:18" x14ac:dyDescent="0.2">
      <c r="A14" s="1">
        <v>5206084</v>
      </c>
      <c r="B14" s="1">
        <v>2402015</v>
      </c>
      <c r="C14" s="1">
        <v>21742356</v>
      </c>
      <c r="D14" s="1">
        <v>2302015</v>
      </c>
      <c r="E14" s="1">
        <v>148290</v>
      </c>
      <c r="F14" s="1">
        <v>16536272</v>
      </c>
      <c r="G14" s="1">
        <v>2694615</v>
      </c>
      <c r="H14">
        <f t="shared" si="0"/>
        <v>0.92058455878652834</v>
      </c>
      <c r="K14" s="1">
        <v>-10450267</v>
      </c>
      <c r="L14" s="1">
        <v>7723385</v>
      </c>
      <c r="M14" s="1">
        <v>14483512</v>
      </c>
      <c r="N14" s="1">
        <v>7623385</v>
      </c>
      <c r="O14" s="1">
        <v>363396</v>
      </c>
      <c r="P14" s="1">
        <v>24933779</v>
      </c>
      <c r="Q14" s="1">
        <v>8287099</v>
      </c>
      <c r="R14">
        <f t="shared" si="1"/>
        <v>2.1980203761131691</v>
      </c>
    </row>
    <row r="15" spans="1:18" x14ac:dyDescent="0.2">
      <c r="A15" s="1">
        <v>9567109</v>
      </c>
      <c r="B15" s="1">
        <v>2080415</v>
      </c>
      <c r="C15" s="1">
        <v>23002305</v>
      </c>
      <c r="D15" s="1">
        <v>1980415</v>
      </c>
      <c r="E15" s="1">
        <v>199289</v>
      </c>
      <c r="F15" s="1">
        <v>13435196</v>
      </c>
      <c r="G15" s="1">
        <v>2915591</v>
      </c>
      <c r="H15">
        <f t="shared" si="0"/>
        <v>1.0453681702725734</v>
      </c>
      <c r="K15" s="1">
        <v>9067748</v>
      </c>
      <c r="L15" s="1">
        <v>6505027</v>
      </c>
      <c r="M15" s="1">
        <v>22729020</v>
      </c>
      <c r="N15" s="1">
        <v>6405027</v>
      </c>
      <c r="O15" s="1">
        <v>201039</v>
      </c>
      <c r="P15" s="1">
        <v>13661272</v>
      </c>
      <c r="Q15" s="1">
        <v>7461786</v>
      </c>
      <c r="R15">
        <f t="shared" si="1"/>
        <v>2.1461522138097835</v>
      </c>
    </row>
    <row r="16" spans="1:18" x14ac:dyDescent="0.2">
      <c r="A16" s="1">
        <v>5640419</v>
      </c>
      <c r="B16" s="1">
        <v>5228828</v>
      </c>
      <c r="C16" s="1">
        <v>25743034</v>
      </c>
      <c r="D16" s="1">
        <v>5128828</v>
      </c>
      <c r="E16" s="1">
        <v>306697</v>
      </c>
      <c r="F16" s="1">
        <v>20102615</v>
      </c>
      <c r="G16" s="1">
        <v>6114153</v>
      </c>
      <c r="H16">
        <f t="shared" si="0"/>
        <v>1.4511764045879667</v>
      </c>
      <c r="K16" s="1">
        <v>-795227</v>
      </c>
      <c r="L16" s="1">
        <v>10817831</v>
      </c>
      <c r="M16" s="1">
        <v>22192778</v>
      </c>
      <c r="N16" s="1">
        <v>10717831</v>
      </c>
      <c r="O16" s="1">
        <v>200485</v>
      </c>
      <c r="P16" s="1">
        <v>22988005</v>
      </c>
      <c r="Q16" s="1">
        <v>11319869</v>
      </c>
      <c r="R16">
        <f t="shared" si="1"/>
        <v>2.7479305289782454</v>
      </c>
    </row>
    <row r="17" spans="1:18" x14ac:dyDescent="0.2">
      <c r="A17" s="1">
        <v>-3225736</v>
      </c>
      <c r="B17" s="1">
        <v>4960797</v>
      </c>
      <c r="C17" s="1">
        <v>19580822</v>
      </c>
      <c r="D17" s="1">
        <v>4860797</v>
      </c>
      <c r="E17" s="1">
        <v>365350</v>
      </c>
      <c r="F17" s="1">
        <v>22806558</v>
      </c>
      <c r="G17" s="1">
        <v>5597803</v>
      </c>
      <c r="H17">
        <f t="shared" si="0"/>
        <v>1.2714110296843359</v>
      </c>
      <c r="K17" s="1">
        <v>-467841</v>
      </c>
      <c r="L17" s="1">
        <v>6960226</v>
      </c>
      <c r="M17" s="1">
        <v>15805880</v>
      </c>
      <c r="N17" s="1">
        <v>6860226</v>
      </c>
      <c r="O17" s="1">
        <v>207048</v>
      </c>
      <c r="P17" s="1">
        <v>16273721</v>
      </c>
      <c r="Q17" s="1">
        <v>7606049</v>
      </c>
      <c r="R17">
        <f t="shared" si="1"/>
        <v>2.5016483353282704</v>
      </c>
    </row>
    <row r="18" spans="1:18" x14ac:dyDescent="0.2">
      <c r="A18" s="1">
        <v>1153126</v>
      </c>
      <c r="B18" s="1">
        <v>3656309</v>
      </c>
      <c r="C18" s="1">
        <v>22435472</v>
      </c>
      <c r="D18" s="1">
        <v>3556309</v>
      </c>
      <c r="E18" s="1">
        <v>370975</v>
      </c>
      <c r="F18" s="1">
        <v>21282346</v>
      </c>
      <c r="G18" s="1">
        <v>4634339</v>
      </c>
      <c r="H18">
        <f t="shared" si="0"/>
        <v>1.0297422458274885</v>
      </c>
      <c r="K18" s="1">
        <v>-4071868</v>
      </c>
      <c r="L18" s="1">
        <v>8971976</v>
      </c>
      <c r="M18" s="1">
        <v>15701038</v>
      </c>
      <c r="N18" s="1">
        <v>8871976</v>
      </c>
      <c r="O18" s="1">
        <v>203124</v>
      </c>
      <c r="P18" s="1">
        <v>19772906</v>
      </c>
      <c r="Q18" s="1">
        <v>9253255</v>
      </c>
      <c r="R18">
        <f t="shared" si="1"/>
        <v>2.9483925803838336</v>
      </c>
    </row>
    <row r="19" spans="1:18" x14ac:dyDescent="0.2">
      <c r="A19" s="1">
        <v>-12405719</v>
      </c>
      <c r="B19" s="1">
        <v>749472</v>
      </c>
      <c r="C19" s="1">
        <v>11625342</v>
      </c>
      <c r="D19" s="1">
        <v>649472</v>
      </c>
      <c r="E19" s="1">
        <v>485882</v>
      </c>
      <c r="F19" s="1">
        <v>24031061</v>
      </c>
      <c r="G19" s="1">
        <v>1704025</v>
      </c>
      <c r="H19">
        <f t="shared" si="0"/>
        <v>-0.84737226122610998</v>
      </c>
      <c r="K19" s="1">
        <v>792206</v>
      </c>
      <c r="L19" s="1">
        <v>10563750</v>
      </c>
      <c r="M19" s="1">
        <v>22159962</v>
      </c>
      <c r="N19" s="1">
        <v>10463750</v>
      </c>
      <c r="O19" s="1">
        <v>208170</v>
      </c>
      <c r="P19" s="1">
        <v>21367756</v>
      </c>
      <c r="Q19" s="1">
        <v>10921264</v>
      </c>
      <c r="R19">
        <f t="shared" si="1"/>
        <v>2.7667081584741609</v>
      </c>
    </row>
    <row r="20" spans="1:18" x14ac:dyDescent="0.2">
      <c r="A20" s="1">
        <v>4585375</v>
      </c>
      <c r="B20" s="1">
        <v>3051865</v>
      </c>
      <c r="C20" s="1">
        <v>16049610</v>
      </c>
      <c r="D20" s="1">
        <v>2951865</v>
      </c>
      <c r="E20" s="1">
        <v>461580</v>
      </c>
      <c r="F20" s="1">
        <v>11464235</v>
      </c>
      <c r="G20" s="1">
        <v>3695361</v>
      </c>
      <c r="H20">
        <f t="shared" si="0"/>
        <v>1.4701666042188455</v>
      </c>
      <c r="K20" s="1">
        <v>4210530</v>
      </c>
      <c r="L20" s="1">
        <v>8992874</v>
      </c>
      <c r="M20" s="1">
        <v>19122529</v>
      </c>
      <c r="N20" s="1">
        <v>8892874</v>
      </c>
      <c r="O20" s="1">
        <v>255600</v>
      </c>
      <c r="P20" s="1">
        <v>14911999</v>
      </c>
      <c r="Q20" s="1">
        <v>9287741</v>
      </c>
      <c r="R20">
        <f t="shared" si="1"/>
        <v>2.9527610893913412</v>
      </c>
    </row>
    <row r="21" spans="1:18" x14ac:dyDescent="0.2">
      <c r="A21" s="1">
        <v>2658190</v>
      </c>
      <c r="B21" s="1">
        <v>5882746</v>
      </c>
      <c r="C21" s="1">
        <v>24548838</v>
      </c>
      <c r="D21" s="1">
        <v>5782746</v>
      </c>
      <c r="E21" s="1">
        <v>189074</v>
      </c>
      <c r="F21" s="1">
        <v>21890648</v>
      </c>
      <c r="G21" s="1">
        <v>6665520</v>
      </c>
      <c r="H21">
        <f t="shared" si="0"/>
        <v>1.5192087168496207</v>
      </c>
      <c r="K21" s="1">
        <v>4819843</v>
      </c>
      <c r="L21" s="1">
        <v>6813112</v>
      </c>
      <c r="M21" s="1">
        <v>23154062</v>
      </c>
      <c r="N21" s="1">
        <v>6713112</v>
      </c>
      <c r="O21" s="1">
        <v>266841</v>
      </c>
      <c r="P21" s="1">
        <v>18334219</v>
      </c>
      <c r="Q21" s="1">
        <v>7410181</v>
      </c>
      <c r="R21">
        <f t="shared" si="1"/>
        <v>1.9469759979674783</v>
      </c>
    </row>
    <row r="22" spans="1:18" x14ac:dyDescent="0.2">
      <c r="A22" s="1">
        <v>-3924307</v>
      </c>
      <c r="B22" s="1">
        <v>2011386</v>
      </c>
      <c r="C22" s="1">
        <v>20764602</v>
      </c>
      <c r="D22" s="1">
        <v>1911386</v>
      </c>
      <c r="E22" s="1">
        <v>231851</v>
      </c>
      <c r="F22" s="1">
        <v>24688909</v>
      </c>
      <c r="G22" s="1">
        <v>2140499</v>
      </c>
      <c r="H22">
        <f t="shared" si="0"/>
        <v>0.32120544585633493</v>
      </c>
      <c r="K22" s="1">
        <v>1524804</v>
      </c>
      <c r="L22" s="1">
        <v>5173541</v>
      </c>
      <c r="M22" s="1">
        <v>17658795</v>
      </c>
      <c r="N22" s="1">
        <v>5073541</v>
      </c>
      <c r="O22" s="1">
        <v>449026</v>
      </c>
      <c r="P22" s="1">
        <v>16133991</v>
      </c>
      <c r="Q22" s="1">
        <v>5878212</v>
      </c>
      <c r="R22">
        <f t="shared" si="1"/>
        <v>1.8111439104938636</v>
      </c>
    </row>
    <row r="23" spans="1:18" x14ac:dyDescent="0.2">
      <c r="A23" s="1">
        <v>-5527357</v>
      </c>
      <c r="B23" s="1">
        <v>2634310</v>
      </c>
      <c r="C23" s="1">
        <v>17167143</v>
      </c>
      <c r="D23" s="1">
        <v>2534310</v>
      </c>
      <c r="E23" s="1">
        <v>225513</v>
      </c>
      <c r="F23" s="1">
        <v>22694500</v>
      </c>
      <c r="G23" s="1">
        <v>3438036</v>
      </c>
      <c r="H23">
        <f t="shared" si="0"/>
        <v>0.52165811657666439</v>
      </c>
      <c r="K23" s="1">
        <v>-1946723</v>
      </c>
      <c r="L23" s="1">
        <v>6728620</v>
      </c>
      <c r="M23" s="1">
        <v>15406364</v>
      </c>
      <c r="N23" s="1">
        <v>6628620</v>
      </c>
      <c r="O23" s="1">
        <v>228340</v>
      </c>
      <c r="P23" s="1">
        <v>17353087</v>
      </c>
      <c r="Q23" s="1">
        <v>6896293</v>
      </c>
      <c r="R23">
        <f t="shared" si="1"/>
        <v>2.3347155483481727</v>
      </c>
    </row>
    <row r="24" spans="1:18" x14ac:dyDescent="0.2">
      <c r="A24" s="1">
        <v>8631307</v>
      </c>
      <c r="B24" s="1">
        <v>4043264</v>
      </c>
      <c r="C24" s="1">
        <v>20863713</v>
      </c>
      <c r="D24" s="1">
        <v>3943264</v>
      </c>
      <c r="E24" s="1">
        <v>216505</v>
      </c>
      <c r="F24" s="1">
        <v>12232406</v>
      </c>
      <c r="G24" s="1">
        <v>5041157</v>
      </c>
      <c r="H24">
        <f t="shared" si="0"/>
        <v>1.6434557400322403</v>
      </c>
      <c r="K24" s="1">
        <v>2101397</v>
      </c>
      <c r="L24" s="1">
        <v>8502703</v>
      </c>
      <c r="M24" s="1">
        <v>20815120</v>
      </c>
      <c r="N24" s="1">
        <v>8402703</v>
      </c>
      <c r="O24" s="1">
        <v>309383</v>
      </c>
      <c r="P24" s="1">
        <v>18713723</v>
      </c>
      <c r="Q24" s="1">
        <v>9212010</v>
      </c>
      <c r="R24">
        <f t="shared" si="1"/>
        <v>2.4772210291376418</v>
      </c>
    </row>
    <row r="25" spans="1:18" x14ac:dyDescent="0.2">
      <c r="A25" s="1">
        <v>-6873012</v>
      </c>
      <c r="B25" s="1">
        <v>1468236</v>
      </c>
      <c r="C25" s="1">
        <v>16714157</v>
      </c>
      <c r="D25" s="1">
        <v>1368236</v>
      </c>
      <c r="E25" s="1">
        <v>103916</v>
      </c>
      <c r="F25" s="1">
        <v>23587169</v>
      </c>
      <c r="G25" s="1">
        <v>1876747</v>
      </c>
      <c r="H25">
        <f t="shared" si="0"/>
        <v>1.4487523577583251E-2</v>
      </c>
      <c r="K25" s="1">
        <v>8695609</v>
      </c>
      <c r="L25" s="1">
        <v>5934684</v>
      </c>
      <c r="M25" s="1">
        <v>21803518</v>
      </c>
      <c r="N25" s="1">
        <v>5834684</v>
      </c>
      <c r="O25" s="1">
        <v>478604</v>
      </c>
      <c r="P25" s="1">
        <v>13107909</v>
      </c>
      <c r="Q25" s="1">
        <v>6794410</v>
      </c>
      <c r="R25">
        <f t="shared" si="1"/>
        <v>2.0759504603947008</v>
      </c>
    </row>
    <row r="26" spans="1:18" x14ac:dyDescent="0.2">
      <c r="A26" s="1">
        <v>-225852</v>
      </c>
      <c r="B26" s="1">
        <v>1566182</v>
      </c>
      <c r="C26" s="1">
        <v>19721372</v>
      </c>
      <c r="D26" s="1">
        <v>1466182</v>
      </c>
      <c r="E26" s="1">
        <v>478732</v>
      </c>
      <c r="F26" s="1">
        <v>19947224</v>
      </c>
      <c r="G26" s="1">
        <v>2268761</v>
      </c>
      <c r="H26">
        <f t="shared" si="0"/>
        <v>0.47210265997456147</v>
      </c>
      <c r="K26" s="1">
        <v>11842621</v>
      </c>
      <c r="L26" s="1">
        <v>5946111</v>
      </c>
      <c r="M26" s="1">
        <v>23514900</v>
      </c>
      <c r="N26" s="1">
        <v>5846111</v>
      </c>
      <c r="O26" s="1">
        <v>445298</v>
      </c>
      <c r="P26" s="1">
        <v>11672279</v>
      </c>
      <c r="Q26" s="1">
        <v>6142666</v>
      </c>
      <c r="R26">
        <f t="shared" si="1"/>
        <v>2.0626346260137094</v>
      </c>
    </row>
    <row r="27" spans="1:18" x14ac:dyDescent="0.2">
      <c r="A27" s="1">
        <v>-1273462</v>
      </c>
      <c r="B27" s="1">
        <v>2532301</v>
      </c>
      <c r="C27" s="1">
        <v>14262889</v>
      </c>
      <c r="D27" s="1">
        <v>2432301</v>
      </c>
      <c r="E27" s="1">
        <v>302741</v>
      </c>
      <c r="F27" s="1">
        <v>15536351</v>
      </c>
      <c r="G27" s="1">
        <v>3461521</v>
      </c>
      <c r="H27">
        <f t="shared" si="0"/>
        <v>0.95832447319648262</v>
      </c>
      <c r="K27" s="1">
        <v>4948429</v>
      </c>
      <c r="L27" s="1">
        <v>6452618</v>
      </c>
      <c r="M27" s="1">
        <v>23486157</v>
      </c>
      <c r="N27" s="1">
        <v>6352618</v>
      </c>
      <c r="O27" s="1">
        <v>323819</v>
      </c>
      <c r="P27" s="1">
        <v>18537728</v>
      </c>
      <c r="Q27" s="1">
        <v>6902284</v>
      </c>
      <c r="R27">
        <f t="shared" si="1"/>
        <v>1.8341423982540503</v>
      </c>
    </row>
    <row r="28" spans="1:18" x14ac:dyDescent="0.2">
      <c r="A28" s="1">
        <v>-127677</v>
      </c>
      <c r="B28" s="1">
        <v>4905012</v>
      </c>
      <c r="C28" s="1">
        <v>20800746</v>
      </c>
      <c r="D28" s="1">
        <v>4805012</v>
      </c>
      <c r="E28" s="1">
        <v>463601</v>
      </c>
      <c r="F28" s="1">
        <v>20928423</v>
      </c>
      <c r="G28" s="1">
        <v>5554072</v>
      </c>
      <c r="H28">
        <f t="shared" si="0"/>
        <v>1.3651109228159395</v>
      </c>
      <c r="K28" s="1">
        <v>-1437436</v>
      </c>
      <c r="L28" s="1">
        <v>9825695</v>
      </c>
      <c r="M28" s="1">
        <v>23468782</v>
      </c>
      <c r="N28" s="1">
        <v>9725695</v>
      </c>
      <c r="O28" s="1">
        <v>182774</v>
      </c>
      <c r="P28" s="1">
        <v>24906218</v>
      </c>
      <c r="Q28" s="1">
        <v>9941860</v>
      </c>
      <c r="R28">
        <f t="shared" si="1"/>
        <v>2.3077932495717843</v>
      </c>
    </row>
    <row r="29" spans="1:18" x14ac:dyDescent="0.2">
      <c r="A29" s="1">
        <v>190510</v>
      </c>
      <c r="B29" s="1">
        <v>701461</v>
      </c>
      <c r="C29" s="1">
        <v>15147681</v>
      </c>
      <c r="D29" s="1">
        <v>601461</v>
      </c>
      <c r="E29" s="1">
        <v>117172</v>
      </c>
      <c r="F29" s="1">
        <v>14957171</v>
      </c>
      <c r="G29" s="1">
        <v>1071900</v>
      </c>
      <c r="H29">
        <f t="shared" si="0"/>
        <v>0.28634782144339632</v>
      </c>
      <c r="K29" s="1">
        <v>3215388</v>
      </c>
      <c r="L29" s="1">
        <v>10563993</v>
      </c>
      <c r="M29" s="1">
        <v>22907859</v>
      </c>
      <c r="N29" s="1">
        <v>10463993</v>
      </c>
      <c r="O29" s="1">
        <v>160618</v>
      </c>
      <c r="P29" s="1">
        <v>19692471</v>
      </c>
      <c r="Q29" s="1">
        <v>11242611</v>
      </c>
      <c r="R29">
        <f t="shared" si="1"/>
        <v>2.8166188433304828</v>
      </c>
    </row>
    <row r="30" spans="1:18" x14ac:dyDescent="0.2">
      <c r="A30" s="1">
        <v>5220520</v>
      </c>
      <c r="B30" s="1">
        <v>3143929</v>
      </c>
      <c r="C30" s="1">
        <v>21746643</v>
      </c>
      <c r="D30" s="1">
        <v>3043929</v>
      </c>
      <c r="E30" s="1">
        <v>278393</v>
      </c>
      <c r="F30" s="1">
        <v>16526123</v>
      </c>
      <c r="G30" s="1">
        <v>4047922</v>
      </c>
      <c r="H30">
        <f t="shared" si="0"/>
        <v>1.1484423575551594</v>
      </c>
      <c r="K30" s="1">
        <v>8428979</v>
      </c>
      <c r="L30" s="1">
        <v>5310524</v>
      </c>
      <c r="M30" s="1">
        <v>18437602</v>
      </c>
      <c r="N30" s="1">
        <v>5210524</v>
      </c>
      <c r="O30" s="1">
        <v>184084</v>
      </c>
      <c r="P30" s="1">
        <v>10008623</v>
      </c>
      <c r="Q30" s="1">
        <v>5946934</v>
      </c>
      <c r="R30">
        <f t="shared" si="1"/>
        <v>2.2176795695351146</v>
      </c>
    </row>
    <row r="31" spans="1:18" x14ac:dyDescent="0.2">
      <c r="K31" s="1">
        <v>-2952448</v>
      </c>
      <c r="L31" s="1">
        <v>6526653</v>
      </c>
      <c r="M31" s="1">
        <v>17329098</v>
      </c>
      <c r="N31" s="1">
        <v>6426653</v>
      </c>
      <c r="O31" s="1">
        <v>295961</v>
      </c>
      <c r="P31" s="1">
        <v>20281546</v>
      </c>
      <c r="Q31" s="1">
        <v>7420602</v>
      </c>
      <c r="R31">
        <f t="shared" si="1"/>
        <v>1.9832099234295399</v>
      </c>
    </row>
    <row r="32" spans="1:18" x14ac:dyDescent="0.2">
      <c r="K32" s="1">
        <v>1543361</v>
      </c>
      <c r="L32" s="1">
        <v>6638859</v>
      </c>
      <c r="M32" s="1">
        <v>21352018</v>
      </c>
      <c r="N32" s="1">
        <v>6538859</v>
      </c>
      <c r="O32" s="1">
        <v>223577</v>
      </c>
      <c r="P32" s="1">
        <v>19808657</v>
      </c>
      <c r="Q32" s="1">
        <v>7089111</v>
      </c>
      <c r="R32">
        <f t="shared" si="1"/>
        <v>1.8710779647879272</v>
      </c>
    </row>
    <row r="33" spans="11:18" x14ac:dyDescent="0.2">
      <c r="K33" s="1">
        <v>-5243746</v>
      </c>
      <c r="L33" s="1">
        <v>9332375</v>
      </c>
      <c r="M33" s="1">
        <v>19695101</v>
      </c>
      <c r="N33" s="1">
        <v>9232375</v>
      </c>
      <c r="O33" s="1">
        <v>494116</v>
      </c>
      <c r="P33" s="1">
        <v>24938847</v>
      </c>
      <c r="Q33" s="1">
        <v>9470754</v>
      </c>
      <c r="R33">
        <f t="shared" si="1"/>
        <v>2.3830841594167103</v>
      </c>
    </row>
    <row r="34" spans="11:18" x14ac:dyDescent="0.2">
      <c r="K34" s="1">
        <v>-10634262</v>
      </c>
      <c r="L34" s="1">
        <v>6572345</v>
      </c>
      <c r="M34" s="1">
        <v>12962398</v>
      </c>
      <c r="N34" s="1">
        <v>6472345</v>
      </c>
      <c r="O34" s="1">
        <v>274535</v>
      </c>
      <c r="P34" s="1">
        <v>23596660</v>
      </c>
      <c r="Q34" s="1">
        <v>7083771</v>
      </c>
      <c r="R34">
        <f t="shared" si="1"/>
        <v>1.9260387490340214</v>
      </c>
    </row>
    <row r="35" spans="11:18" x14ac:dyDescent="0.2">
      <c r="K35" s="1">
        <v>-2703333</v>
      </c>
      <c r="L35" s="1">
        <v>5781080</v>
      </c>
      <c r="M35" s="1">
        <v>13847753</v>
      </c>
      <c r="N35" s="1">
        <v>5681080</v>
      </c>
      <c r="O35" s="1">
        <v>144752</v>
      </c>
      <c r="P35" s="1">
        <v>16551086</v>
      </c>
      <c r="Q35" s="1">
        <v>5983331</v>
      </c>
      <c r="R35">
        <f t="shared" si="1"/>
        <v>2.1409314298837483</v>
      </c>
    </row>
    <row r="36" spans="11:18" x14ac:dyDescent="0.2">
      <c r="K36" s="1">
        <v>2649626</v>
      </c>
      <c r="L36" s="1">
        <v>5619720</v>
      </c>
      <c r="M36" s="1">
        <v>16789369</v>
      </c>
      <c r="N36" s="1">
        <v>5519720</v>
      </c>
      <c r="O36" s="1">
        <v>158010</v>
      </c>
      <c r="P36" s="1">
        <v>14139743</v>
      </c>
      <c r="Q36" s="1">
        <v>5972295</v>
      </c>
      <c r="R36">
        <f t="shared" si="1"/>
        <v>2.1049706790223057</v>
      </c>
    </row>
    <row r="37" spans="11:18" x14ac:dyDescent="0.2">
      <c r="K37" s="1">
        <v>-7959666</v>
      </c>
      <c r="L37" s="1">
        <v>8159588</v>
      </c>
      <c r="M37" s="1">
        <v>12550453</v>
      </c>
      <c r="N37" s="1">
        <v>8059588</v>
      </c>
      <c r="O37" s="1">
        <v>448773</v>
      </c>
      <c r="P37" s="1">
        <v>20510119</v>
      </c>
      <c r="Q37" s="1">
        <v>8465488</v>
      </c>
      <c r="R37">
        <f t="shared" si="1"/>
        <v>2.955292013487306</v>
      </c>
    </row>
    <row r="38" spans="11:18" x14ac:dyDescent="0.2">
      <c r="K38" s="1">
        <v>-3704886</v>
      </c>
      <c r="L38" s="1">
        <v>7581114</v>
      </c>
      <c r="M38" s="1">
        <v>20640504</v>
      </c>
      <c r="N38" s="1">
        <v>7481114</v>
      </c>
      <c r="O38" s="1">
        <v>223073</v>
      </c>
      <c r="P38" s="1">
        <v>24345390</v>
      </c>
      <c r="Q38" s="1">
        <v>7889934</v>
      </c>
      <c r="R38">
        <f t="shared" si="1"/>
        <v>1.8822647010704068</v>
      </c>
    </row>
    <row r="39" spans="11:18" x14ac:dyDescent="0.2">
      <c r="K39" s="1">
        <v>1331058</v>
      </c>
      <c r="L39" s="1">
        <v>5193889</v>
      </c>
      <c r="M39" s="1">
        <v>15605653</v>
      </c>
      <c r="N39" s="1">
        <v>5093889</v>
      </c>
      <c r="O39" s="1">
        <v>260482</v>
      </c>
      <c r="P39" s="1">
        <v>14274595</v>
      </c>
      <c r="Q39" s="1">
        <v>5580003</v>
      </c>
      <c r="R39">
        <f t="shared" si="1"/>
        <v>2.0136186252210755</v>
      </c>
    </row>
    <row r="40" spans="11:18" x14ac:dyDescent="0.2">
      <c r="K40" s="1">
        <v>575770</v>
      </c>
      <c r="L40" s="1">
        <v>5416779</v>
      </c>
      <c r="M40" s="1">
        <v>15557689</v>
      </c>
      <c r="N40" s="1">
        <v>5316779</v>
      </c>
      <c r="O40" s="1">
        <v>406955</v>
      </c>
      <c r="P40" s="1">
        <v>14981919</v>
      </c>
      <c r="Q40" s="1">
        <v>5874074</v>
      </c>
      <c r="R40">
        <f t="shared" si="1"/>
        <v>2.0531032620885483</v>
      </c>
    </row>
  </sheetData>
  <conditionalFormatting sqref="H4:H30">
    <cfRule type="colorScale" priority="1">
      <colorScale>
        <cfvo type="min"/>
        <cfvo type="max"/>
        <color theme="5" tint="-0.499984740745262"/>
        <color rgb="FFFF0000"/>
      </colorScale>
    </cfRule>
    <cfRule type="colorScale" priority="3">
      <colorScale>
        <cfvo type="min"/>
        <cfvo type="max"/>
        <color rgb="FFFF0000"/>
        <color rgb="FFFFC000"/>
      </colorScale>
    </cfRule>
  </conditionalFormatting>
  <conditionalFormatting sqref="R4:R40">
    <cfRule type="colorScale" priority="2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1:R42"/>
  <sheetViews>
    <sheetView tabSelected="1" workbookViewId="0">
      <selection activeCell="O1" sqref="O1"/>
    </sheetView>
  </sheetViews>
  <sheetFormatPr baseColWidth="10" defaultRowHeight="15" x14ac:dyDescent="0.2"/>
  <sheetData>
    <row r="1" spans="1:18" ht="21" x14ac:dyDescent="0.25">
      <c r="A1" s="5" t="s">
        <v>21</v>
      </c>
    </row>
    <row r="3" spans="1:18" ht="21" x14ac:dyDescent="0.25">
      <c r="A3" s="5" t="s">
        <v>18</v>
      </c>
      <c r="K3" s="5" t="s">
        <v>19</v>
      </c>
    </row>
    <row r="4" spans="1:18" ht="21" x14ac:dyDescent="0.25">
      <c r="A4" s="5"/>
      <c r="K4" s="5"/>
    </row>
    <row r="5" spans="1:18" ht="19" x14ac:dyDescent="0.25">
      <c r="A5" s="9" t="s">
        <v>0</v>
      </c>
      <c r="B5" s="9" t="s">
        <v>1</v>
      </c>
      <c r="C5" s="9" t="s">
        <v>2</v>
      </c>
      <c r="D5" s="9" t="s">
        <v>3</v>
      </c>
      <c r="E5" s="9" t="s">
        <v>4</v>
      </c>
      <c r="F5" s="9" t="s">
        <v>5</v>
      </c>
      <c r="G5" s="9" t="s">
        <v>6</v>
      </c>
      <c r="H5" s="9" t="s">
        <v>12</v>
      </c>
      <c r="I5" s="3"/>
      <c r="J5" s="3"/>
      <c r="K5" s="9" t="s">
        <v>0</v>
      </c>
      <c r="L5" s="9" t="s">
        <v>1</v>
      </c>
      <c r="M5" s="9" t="s">
        <v>2</v>
      </c>
      <c r="N5" s="9" t="s">
        <v>3</v>
      </c>
      <c r="O5" s="9" t="s">
        <v>4</v>
      </c>
      <c r="P5" s="9" t="s">
        <v>5</v>
      </c>
      <c r="Q5" s="9" t="s">
        <v>6</v>
      </c>
      <c r="R5" s="9" t="s">
        <v>12</v>
      </c>
    </row>
    <row r="6" spans="1:18" x14ac:dyDescent="0.2">
      <c r="A6">
        <v>6462220.558677203</v>
      </c>
      <c r="B6">
        <v>3477668.4535110802</v>
      </c>
      <c r="C6">
        <v>9653172.7439089064</v>
      </c>
      <c r="D6">
        <v>3718243.4872873174</v>
      </c>
      <c r="E6">
        <v>123317.77884761199</v>
      </c>
      <c r="F6">
        <v>18303422.888374079</v>
      </c>
      <c r="G6">
        <v>3934290.1850919756</v>
      </c>
      <c r="H6" s="2">
        <f>Score_Altman(A6,B6,C6,D6,E6,F6,G6)</f>
        <v>2.9899995721361492</v>
      </c>
      <c r="K6">
        <v>25105.709800367807</v>
      </c>
      <c r="L6">
        <v>5073723.8107619146</v>
      </c>
      <c r="M6">
        <v>10082454.294388814</v>
      </c>
      <c r="N6">
        <v>5332700.0940062515</v>
      </c>
      <c r="O6">
        <v>305260.52592813462</v>
      </c>
      <c r="P6">
        <v>13520186.915083934</v>
      </c>
      <c r="Q6">
        <v>5283973.832024592</v>
      </c>
      <c r="R6" s="2">
        <f>Score_Altman(K6,L6,M6,N6,O6,P6,Q6)</f>
        <v>2.9899987887845496</v>
      </c>
    </row>
    <row r="7" spans="1:18" x14ac:dyDescent="0.2">
      <c r="A7">
        <v>8275143.3663658202</v>
      </c>
      <c r="B7">
        <v>3374189.3612513831</v>
      </c>
      <c r="C7">
        <v>10071110.886732016</v>
      </c>
      <c r="D7">
        <v>3555988.554323331</v>
      </c>
      <c r="E7">
        <v>114086.17951615153</v>
      </c>
      <c r="F7">
        <v>12485189.590879504</v>
      </c>
      <c r="G7">
        <v>3672286.9552985751</v>
      </c>
      <c r="H7" s="2">
        <f t="shared" ref="H7:H32" si="0">Score_Altman(A7,B7,C7,D7,E7,F7,G7)</f>
        <v>2.9900008631354793</v>
      </c>
      <c r="K7">
        <v>14658630.900296262</v>
      </c>
      <c r="L7">
        <v>7633965.1209732434</v>
      </c>
      <c r="M7">
        <v>21016310.311252087</v>
      </c>
      <c r="N7">
        <v>7758962.3220260218</v>
      </c>
      <c r="O7">
        <v>459177.60544168443</v>
      </c>
      <c r="P7">
        <v>10119562.128133183</v>
      </c>
      <c r="Q7">
        <v>8392470.2550897636</v>
      </c>
      <c r="R7" s="2">
        <f t="shared" ref="R7:R42" si="1">Score_Altman(K7,L7,M7,N7,O7,P7,Q7)</f>
        <v>2.9899983820884439</v>
      </c>
    </row>
    <row r="8" spans="1:18" x14ac:dyDescent="0.2">
      <c r="A8">
        <v>163269.68124283795</v>
      </c>
      <c r="B8">
        <v>3054753.8700596616</v>
      </c>
      <c r="C8">
        <v>6521006.9114853032</v>
      </c>
      <c r="D8">
        <v>3366506.3774892418</v>
      </c>
      <c r="E8">
        <v>246843.48768758675</v>
      </c>
      <c r="F8">
        <v>23309313.22990299</v>
      </c>
      <c r="G8">
        <v>3878205.4874209757</v>
      </c>
      <c r="H8" s="2">
        <f t="shared" si="0"/>
        <v>2.9900001252389212</v>
      </c>
      <c r="K8">
        <v>1566154.8202426371</v>
      </c>
      <c r="L8">
        <v>8434800.804370692</v>
      </c>
      <c r="M8">
        <v>17086787.31047326</v>
      </c>
      <c r="N8">
        <v>8612643.4738281891</v>
      </c>
      <c r="O8">
        <v>411069.9227131732</v>
      </c>
      <c r="P8">
        <v>17630821.761098716</v>
      </c>
      <c r="Q8">
        <v>8749356.2250046786</v>
      </c>
      <c r="R8" s="2">
        <f t="shared" si="1"/>
        <v>2.989998507900018</v>
      </c>
    </row>
    <row r="9" spans="1:18" x14ac:dyDescent="0.2">
      <c r="A9">
        <v>11374590.900789948</v>
      </c>
      <c r="B9">
        <v>4303341.7963609789</v>
      </c>
      <c r="C9">
        <v>13292121.8641713</v>
      </c>
      <c r="D9">
        <v>4456191.4693931956</v>
      </c>
      <c r="E9">
        <v>341334.39743549266</v>
      </c>
      <c r="F9">
        <v>10359271.740809731</v>
      </c>
      <c r="G9">
        <v>5106155.5247901166</v>
      </c>
      <c r="H9" s="2">
        <f t="shared" si="0"/>
        <v>2.9900005200845809</v>
      </c>
      <c r="K9">
        <v>159965.39624066307</v>
      </c>
      <c r="L9">
        <v>6422571.1679919232</v>
      </c>
      <c r="M9">
        <v>12629595.52411429</v>
      </c>
      <c r="N9">
        <v>6482496.7816294422</v>
      </c>
      <c r="O9">
        <v>223887.25135429713</v>
      </c>
      <c r="P9">
        <v>21450689.48453081</v>
      </c>
      <c r="Q9">
        <v>7114724.5725515829</v>
      </c>
      <c r="R9" s="2">
        <f t="shared" si="1"/>
        <v>2.9900006363427396</v>
      </c>
    </row>
    <row r="10" spans="1:18" x14ac:dyDescent="0.2">
      <c r="A10">
        <v>0</v>
      </c>
      <c r="B10">
        <v>3677576.4231641241</v>
      </c>
      <c r="C10">
        <v>7666044.647872312</v>
      </c>
      <c r="D10">
        <v>4019302.2380709569</v>
      </c>
      <c r="E10">
        <v>224025.19361985289</v>
      </c>
      <c r="F10">
        <v>16390207.702870868</v>
      </c>
      <c r="G10">
        <v>4450753.1062328052</v>
      </c>
      <c r="H10" s="2">
        <f t="shared" si="0"/>
        <v>2.9900002620846755</v>
      </c>
      <c r="K10">
        <v>11968175.026483482</v>
      </c>
      <c r="L10">
        <v>9235585.3615900278</v>
      </c>
      <c r="M10">
        <v>22614475.724816117</v>
      </c>
      <c r="N10">
        <v>9285680.4242083654</v>
      </c>
      <c r="O10">
        <v>189400.46542491982</v>
      </c>
      <c r="P10">
        <v>12386733.9909361</v>
      </c>
      <c r="Q10">
        <v>9484896.5233755615</v>
      </c>
      <c r="R10" s="2">
        <f t="shared" si="1"/>
        <v>2.9899989983132023</v>
      </c>
    </row>
    <row r="11" spans="1:18" x14ac:dyDescent="0.2">
      <c r="A11">
        <v>1502511.339981189</v>
      </c>
      <c r="B11">
        <v>1819688.0053588215</v>
      </c>
      <c r="C11">
        <v>6425678.200618702</v>
      </c>
      <c r="D11">
        <v>3323989.8016954456</v>
      </c>
      <c r="E11">
        <v>408103.84573149856</v>
      </c>
      <c r="F11">
        <v>20428651.197112411</v>
      </c>
      <c r="G11">
        <v>3819832.1418680656</v>
      </c>
      <c r="H11" s="2">
        <f t="shared" si="0"/>
        <v>2.9899995710145144</v>
      </c>
      <c r="K11">
        <v>5183016</v>
      </c>
      <c r="L11">
        <v>8787655</v>
      </c>
      <c r="M11">
        <v>19195036</v>
      </c>
      <c r="N11">
        <v>8687655</v>
      </c>
      <c r="O11">
        <v>123284</v>
      </c>
      <c r="P11">
        <v>14012020</v>
      </c>
      <c r="Q11">
        <v>9587930</v>
      </c>
      <c r="R11" s="2">
        <f t="shared" si="1"/>
        <v>2.9628114092384465</v>
      </c>
    </row>
    <row r="12" spans="1:18" x14ac:dyDescent="0.2">
      <c r="A12">
        <v>2388815.3708560066</v>
      </c>
      <c r="B12">
        <v>1413819.7821303683</v>
      </c>
      <c r="C12">
        <v>5784683.2060591131</v>
      </c>
      <c r="D12">
        <v>2653551.9368018974</v>
      </c>
      <c r="E12">
        <v>308091.38978626358</v>
      </c>
      <c r="F12">
        <v>19879144.275541101</v>
      </c>
      <c r="G12">
        <v>3643408.3870287775</v>
      </c>
      <c r="H12" s="2">
        <f t="shared" si="0"/>
        <v>2.9900001912738756</v>
      </c>
      <c r="K12">
        <v>2069249.9748224984</v>
      </c>
      <c r="L12">
        <v>6751558.3514639083</v>
      </c>
      <c r="M12">
        <v>14502126.34804496</v>
      </c>
      <c r="N12">
        <v>7160713.2259708596</v>
      </c>
      <c r="O12">
        <v>326646.4861890449</v>
      </c>
      <c r="P12">
        <v>18689871.971266963</v>
      </c>
      <c r="Q12">
        <v>7651289.4230558695</v>
      </c>
      <c r="R12" s="2">
        <f t="shared" si="1"/>
        <v>2.9899992781015983</v>
      </c>
    </row>
    <row r="13" spans="1:18" x14ac:dyDescent="0.2">
      <c r="A13">
        <v>8194950.2260122914</v>
      </c>
      <c r="B13">
        <v>32927.481154134221</v>
      </c>
      <c r="C13">
        <v>4392642.9549411759</v>
      </c>
      <c r="D13">
        <v>0</v>
      </c>
      <c r="E13">
        <v>263384.36025986943</v>
      </c>
      <c r="F13">
        <v>22757631.772069469</v>
      </c>
      <c r="G13">
        <v>3226688.5813725069</v>
      </c>
      <c r="H13" s="2">
        <f t="shared" si="0"/>
        <v>2.9900002340128293</v>
      </c>
      <c r="K13">
        <v>10590933.750646269</v>
      </c>
      <c r="L13">
        <v>7419542.2593768034</v>
      </c>
      <c r="M13">
        <v>18818239.102339383</v>
      </c>
      <c r="N13">
        <v>7582473.3538478008</v>
      </c>
      <c r="O13">
        <v>181477.40281267333</v>
      </c>
      <c r="P13">
        <v>12077232.722287832</v>
      </c>
      <c r="Q13">
        <v>7986206.0907057477</v>
      </c>
      <c r="R13" s="2">
        <f t="shared" si="1"/>
        <v>2.9899994155313436</v>
      </c>
    </row>
    <row r="14" spans="1:18" x14ac:dyDescent="0.2">
      <c r="A14">
        <v>3769923.9796606023</v>
      </c>
      <c r="B14">
        <v>1633907.8494905292</v>
      </c>
      <c r="C14">
        <v>6773157.2726190807</v>
      </c>
      <c r="D14">
        <v>2764597.4037631284</v>
      </c>
      <c r="E14">
        <v>225918.21050808684</v>
      </c>
      <c r="F14">
        <v>23556818.756013054</v>
      </c>
      <c r="G14">
        <v>4282496.2177763572</v>
      </c>
      <c r="H14" s="2">
        <f t="shared" si="0"/>
        <v>2.9899998310622689</v>
      </c>
      <c r="K14">
        <v>0</v>
      </c>
      <c r="L14">
        <v>6153846.5165428733</v>
      </c>
      <c r="M14">
        <v>11594597.022561433</v>
      </c>
      <c r="N14">
        <v>5864474.8019241188</v>
      </c>
      <c r="O14">
        <v>481344.04376862483</v>
      </c>
      <c r="P14">
        <v>15782888.903859138</v>
      </c>
      <c r="Q14">
        <v>6494014.0599036999</v>
      </c>
      <c r="R14" s="2">
        <f t="shared" si="1"/>
        <v>2.9899993986038482</v>
      </c>
    </row>
    <row r="15" spans="1:18" x14ac:dyDescent="0.2">
      <c r="A15">
        <v>10574876.831754498</v>
      </c>
      <c r="B15">
        <v>5010158.2207188299</v>
      </c>
      <c r="C15">
        <v>14380318.734483358</v>
      </c>
      <c r="D15">
        <v>5226107.6813621698</v>
      </c>
      <c r="E15">
        <v>345157.83539438143</v>
      </c>
      <c r="F15">
        <v>12530798.814140135</v>
      </c>
      <c r="G15">
        <v>5815060.4245124208</v>
      </c>
      <c r="H15" s="2">
        <f t="shared" si="0"/>
        <v>2.9899988076261939</v>
      </c>
      <c r="K15">
        <v>8490565.1198127549</v>
      </c>
      <c r="L15">
        <v>7722881.740143911</v>
      </c>
      <c r="M15">
        <v>18384465.173108809</v>
      </c>
      <c r="N15">
        <v>7681740.354004248</v>
      </c>
      <c r="O15">
        <v>138894.48620945864</v>
      </c>
      <c r="P15">
        <v>10506592.990366135</v>
      </c>
      <c r="Q15">
        <v>8481765.1228829045</v>
      </c>
      <c r="R15" s="2">
        <f t="shared" si="1"/>
        <v>2.99000059885591</v>
      </c>
    </row>
    <row r="16" spans="1:18" x14ac:dyDescent="0.2">
      <c r="A16">
        <v>6062095.1447407566</v>
      </c>
      <c r="B16">
        <v>2614611.1062427079</v>
      </c>
      <c r="C16">
        <v>7683845.5160234105</v>
      </c>
      <c r="D16">
        <v>2762278.0013775211</v>
      </c>
      <c r="E16">
        <v>148700.75559884522</v>
      </c>
      <c r="F16">
        <v>16490434.380906688</v>
      </c>
      <c r="G16">
        <v>2885527.6765220617</v>
      </c>
      <c r="H16" s="2">
        <f t="shared" si="0"/>
        <v>2.9900005392628501</v>
      </c>
      <c r="K16">
        <v>0</v>
      </c>
      <c r="L16">
        <v>7690651.3481127536</v>
      </c>
      <c r="M16">
        <v>14734714.982909512</v>
      </c>
      <c r="N16">
        <v>7548212.2089512954</v>
      </c>
      <c r="O16">
        <v>363377.95950793021</v>
      </c>
      <c r="P16">
        <v>24935016.814105347</v>
      </c>
      <c r="Q16">
        <v>8260207.0934548574</v>
      </c>
      <c r="R16" s="2">
        <f t="shared" si="1"/>
        <v>2.9899999084379076</v>
      </c>
    </row>
    <row r="17" spans="1:18" x14ac:dyDescent="0.2">
      <c r="A17">
        <v>11833313.5962703</v>
      </c>
      <c r="B17">
        <v>2205436.4147543553</v>
      </c>
      <c r="C17">
        <v>9322924.4672181942</v>
      </c>
      <c r="D17">
        <v>2247458.9663388869</v>
      </c>
      <c r="E17">
        <v>200060.01900288966</v>
      </c>
      <c r="F17">
        <v>13383175.794841314</v>
      </c>
      <c r="G17">
        <v>3090807.5445858589</v>
      </c>
      <c r="H17" s="2">
        <f t="shared" si="0"/>
        <v>2.9899992901671157</v>
      </c>
      <c r="K17">
        <v>9527177.9129525796</v>
      </c>
      <c r="L17">
        <v>6780872.1683195513</v>
      </c>
      <c r="M17">
        <v>17394505.899013568</v>
      </c>
      <c r="N17">
        <v>7035396.2362881918</v>
      </c>
      <c r="O17">
        <v>201222.52548779047</v>
      </c>
      <c r="P17">
        <v>13648798.897380382</v>
      </c>
      <c r="Q17">
        <v>7720780.3034551656</v>
      </c>
      <c r="R17" s="2">
        <f t="shared" si="1"/>
        <v>2.9899997702529801</v>
      </c>
    </row>
    <row r="18" spans="1:18" x14ac:dyDescent="0.2">
      <c r="A18">
        <v>6080711.966095998</v>
      </c>
      <c r="B18">
        <v>5670270.8566943649</v>
      </c>
      <c r="C18">
        <v>14090987.090664694</v>
      </c>
      <c r="D18">
        <v>6129952.1891741678</v>
      </c>
      <c r="E18">
        <v>307508.70081618056</v>
      </c>
      <c r="F18">
        <v>20049400.761141684</v>
      </c>
      <c r="G18">
        <v>6544853.9822883978</v>
      </c>
      <c r="H18" s="2">
        <f t="shared" si="0"/>
        <v>2.9900004433747873</v>
      </c>
      <c r="K18">
        <v>0</v>
      </c>
      <c r="L18">
        <v>10944741.342820678</v>
      </c>
      <c r="M18">
        <v>21129994.128980059</v>
      </c>
      <c r="N18">
        <v>11011471.767272772</v>
      </c>
      <c r="O18">
        <v>200503.0349114057</v>
      </c>
      <c r="P18">
        <v>22985937.08583273</v>
      </c>
      <c r="Q18">
        <v>11419029.082936037</v>
      </c>
      <c r="R18" s="2">
        <f t="shared" si="1"/>
        <v>2.9900005048011158</v>
      </c>
    </row>
    <row r="19" spans="1:18" x14ac:dyDescent="0.2">
      <c r="A19">
        <v>0</v>
      </c>
      <c r="B19">
        <v>5459632.5256461371</v>
      </c>
      <c r="C19">
        <v>11225068.420462957</v>
      </c>
      <c r="D19">
        <v>5989696.5666750707</v>
      </c>
      <c r="E19">
        <v>366332.36109159159</v>
      </c>
      <c r="F19">
        <v>22745228.779963262</v>
      </c>
      <c r="G19">
        <v>6051041.8382846303</v>
      </c>
      <c r="H19" s="2">
        <f t="shared" si="0"/>
        <v>2.9899994937418852</v>
      </c>
      <c r="K19">
        <v>0</v>
      </c>
      <c r="L19">
        <v>7150598.7832678054</v>
      </c>
      <c r="M19">
        <v>14032070.006584102</v>
      </c>
      <c r="N19">
        <v>7296160.1686798846</v>
      </c>
      <c r="O19">
        <v>207118.12216203567</v>
      </c>
      <c r="P19">
        <v>16268209.494697023</v>
      </c>
      <c r="Q19">
        <v>7768272.5440066289</v>
      </c>
      <c r="R19" s="2">
        <f t="shared" si="1"/>
        <v>2.989997939061686</v>
      </c>
    </row>
    <row r="20" spans="1:18" x14ac:dyDescent="0.2">
      <c r="A20">
        <v>1187476.6549465412</v>
      </c>
      <c r="B20">
        <v>4059224.5787927005</v>
      </c>
      <c r="C20">
        <v>9028483.944684159</v>
      </c>
      <c r="D20">
        <v>4454798.8553180899</v>
      </c>
      <c r="E20">
        <v>372690.58650058781</v>
      </c>
      <c r="F20">
        <v>21183830.867516264</v>
      </c>
      <c r="G20">
        <v>5096231.9285131721</v>
      </c>
      <c r="H20" s="2">
        <f t="shared" si="0"/>
        <v>2.9899994543754698</v>
      </c>
      <c r="K20">
        <v>0</v>
      </c>
      <c r="L20">
        <v>8835429.1025286559</v>
      </c>
      <c r="M20">
        <v>16672834.736973323</v>
      </c>
      <c r="N20">
        <v>8557250.2886238191</v>
      </c>
      <c r="O20">
        <v>203100.18178663781</v>
      </c>
      <c r="P20">
        <v>19775224.555905558</v>
      </c>
      <c r="Q20">
        <v>9149613.877057476</v>
      </c>
      <c r="R20" s="2">
        <f t="shared" si="1"/>
        <v>2.9899974489468617</v>
      </c>
    </row>
    <row r="21" spans="1:18" x14ac:dyDescent="0.2">
      <c r="A21">
        <v>12006085.268608276</v>
      </c>
      <c r="B21">
        <v>667518.08977535204</v>
      </c>
      <c r="C21">
        <v>6906976.5483349776</v>
      </c>
      <c r="D21">
        <v>739731.38845061907</v>
      </c>
      <c r="E21">
        <v>487544.71895439847</v>
      </c>
      <c r="F21">
        <v>25289440.321313143</v>
      </c>
      <c r="G21">
        <v>2791814.7399483067</v>
      </c>
      <c r="H21" s="2">
        <f t="shared" si="0"/>
        <v>2.9899997584616602</v>
      </c>
      <c r="K21">
        <v>792874.21266172279</v>
      </c>
      <c r="L21">
        <v>10702368.589115649</v>
      </c>
      <c r="M21">
        <v>20957035.205276314</v>
      </c>
      <c r="N21">
        <v>10784336.967647217</v>
      </c>
      <c r="O21">
        <v>208193.92516029187</v>
      </c>
      <c r="P21">
        <v>21365300.190243829</v>
      </c>
      <c r="Q21">
        <v>11026986.759497967</v>
      </c>
      <c r="R21" s="2">
        <f t="shared" si="1"/>
        <v>2.9900014762175648</v>
      </c>
    </row>
    <row r="22" spans="1:18" x14ac:dyDescent="0.2">
      <c r="A22">
        <v>5050371.4253548561</v>
      </c>
      <c r="B22">
        <v>3292178.0369550032</v>
      </c>
      <c r="C22">
        <v>8801975.7146725561</v>
      </c>
      <c r="D22">
        <v>3481803.6171525251</v>
      </c>
      <c r="E22">
        <v>464793.62603678205</v>
      </c>
      <c r="F22">
        <v>11384375.384901078</v>
      </c>
      <c r="G22">
        <v>3946779.8807447101</v>
      </c>
      <c r="H22" s="2">
        <f t="shared" si="0"/>
        <v>2.9899987845477378</v>
      </c>
      <c r="K22">
        <v>4214022.6011099759</v>
      </c>
      <c r="L22">
        <v>9011461.4260680396</v>
      </c>
      <c r="M22">
        <v>18945885.754600108</v>
      </c>
      <c r="N22">
        <v>8935718.2391220797</v>
      </c>
      <c r="O22">
        <v>255608.25233077718</v>
      </c>
      <c r="P22">
        <v>14911517.550463583</v>
      </c>
      <c r="Q22">
        <v>9301888.5061622895</v>
      </c>
      <c r="R22" s="2">
        <f t="shared" si="1"/>
        <v>2.9899994692738012</v>
      </c>
    </row>
    <row r="23" spans="1:18" x14ac:dyDescent="0.2">
      <c r="A23">
        <v>2751779.5014439616</v>
      </c>
      <c r="B23">
        <v>6417509.9118839148</v>
      </c>
      <c r="C23">
        <v>14251344.083695913</v>
      </c>
      <c r="D23">
        <v>7000770.4736343138</v>
      </c>
      <c r="E23">
        <v>189336.85263564912</v>
      </c>
      <c r="F23">
        <v>21860214.190359294</v>
      </c>
      <c r="G23">
        <v>7155419.9586601891</v>
      </c>
      <c r="H23" s="2">
        <f t="shared" si="0"/>
        <v>2.9899998786452775</v>
      </c>
      <c r="K23">
        <v>4986812.9650436006</v>
      </c>
      <c r="L23">
        <v>7202345.6816759752</v>
      </c>
      <c r="M23">
        <v>16399580.073673623</v>
      </c>
      <c r="N23">
        <v>7603856.3040302293</v>
      </c>
      <c r="O23">
        <v>267147.67370919726</v>
      </c>
      <c r="P23">
        <v>18313139.772931438</v>
      </c>
      <c r="Q23">
        <v>7738740.8209338738</v>
      </c>
      <c r="R23" s="2">
        <f t="shared" si="1"/>
        <v>2.9899989542937426</v>
      </c>
    </row>
    <row r="24" spans="1:18" x14ac:dyDescent="0.2">
      <c r="A24">
        <v>2378293.0068953703</v>
      </c>
      <c r="B24">
        <v>233445.50049073767</v>
      </c>
      <c r="C24">
        <v>5299991.9726823149</v>
      </c>
      <c r="D24">
        <v>2790414.611335991</v>
      </c>
      <c r="E24">
        <v>230745.14911990578</v>
      </c>
      <c r="F24">
        <v>29611254.370913878</v>
      </c>
      <c r="G24">
        <v>3436487.3701963099</v>
      </c>
      <c r="H24" s="2">
        <f t="shared" si="0"/>
        <v>2.9899997102294669</v>
      </c>
      <c r="K24">
        <v>1550704.420528552</v>
      </c>
      <c r="L24">
        <v>5521398.47335348</v>
      </c>
      <c r="M24">
        <v>11814880.623604041</v>
      </c>
      <c r="N24">
        <v>5862099.2807743223</v>
      </c>
      <c r="O24">
        <v>450168.86268580938</v>
      </c>
      <c r="P24">
        <v>16092883.310184</v>
      </c>
      <c r="Q24">
        <v>6198656.9998783451</v>
      </c>
      <c r="R24" s="2">
        <f t="shared" si="1"/>
        <v>2.9899996468497827</v>
      </c>
    </row>
    <row r="25" spans="1:18" x14ac:dyDescent="0.2">
      <c r="A25">
        <v>2290843.2990059992</v>
      </c>
      <c r="B25">
        <v>1375541.7374261019</v>
      </c>
      <c r="C25">
        <v>6934967.3614427708</v>
      </c>
      <c r="D25">
        <v>3393179.3449534811</v>
      </c>
      <c r="E25">
        <v>225347.30675669154</v>
      </c>
      <c r="F25">
        <v>25766048.571482573</v>
      </c>
      <c r="G25">
        <v>4831729.1600063154</v>
      </c>
      <c r="H25" s="2">
        <f t="shared" si="0"/>
        <v>2.9899998229195708</v>
      </c>
      <c r="K25">
        <v>0</v>
      </c>
      <c r="L25">
        <v>6936228.2910957187</v>
      </c>
      <c r="M25">
        <v>13479529.824013526</v>
      </c>
      <c r="N25">
        <v>7103544.7965702247</v>
      </c>
      <c r="O25">
        <v>228430.97107263011</v>
      </c>
      <c r="P25">
        <v>17346173.512280963</v>
      </c>
      <c r="Q25">
        <v>7051911.6193141527</v>
      </c>
      <c r="R25" s="2">
        <f t="shared" si="1"/>
        <v>2.9899992403069859</v>
      </c>
    </row>
    <row r="26" spans="1:18" x14ac:dyDescent="0.2">
      <c r="A26">
        <v>9522137.1545276064</v>
      </c>
      <c r="B26">
        <v>4271325.9191869153</v>
      </c>
      <c r="C26">
        <v>12551573.879902383</v>
      </c>
      <c r="D26">
        <v>4454576.2394907773</v>
      </c>
      <c r="E26">
        <v>216934.95512016199</v>
      </c>
      <c r="F26">
        <v>12208089.186596492</v>
      </c>
      <c r="G26">
        <v>5294137.1660089297</v>
      </c>
      <c r="H26" s="2">
        <f t="shared" si="0"/>
        <v>2.9899986256963773</v>
      </c>
      <c r="K26">
        <v>2114903.9588260008</v>
      </c>
      <c r="L26">
        <v>8760692.5734819677</v>
      </c>
      <c r="M26">
        <v>18090290.673956387</v>
      </c>
      <c r="N26">
        <v>8996601.289007945</v>
      </c>
      <c r="O26">
        <v>309545.82570080098</v>
      </c>
      <c r="P26">
        <v>18703874.142635033</v>
      </c>
      <c r="Q26">
        <v>9428099.8622687701</v>
      </c>
      <c r="R26" s="2">
        <f t="shared" si="1"/>
        <v>2.9899986694978695</v>
      </c>
    </row>
    <row r="27" spans="1:18" x14ac:dyDescent="0.2">
      <c r="A27">
        <v>6009344.268129128</v>
      </c>
      <c r="B27">
        <v>248531.8813237893</v>
      </c>
      <c r="C27">
        <v>5897004.4497977057</v>
      </c>
      <c r="D27">
        <v>1849991.0743997151</v>
      </c>
      <c r="E27">
        <v>103669.80191443126</v>
      </c>
      <c r="F27">
        <v>28698217.15132425</v>
      </c>
      <c r="G27">
        <v>3959092.7095405329</v>
      </c>
      <c r="H27" s="2">
        <f t="shared" si="0"/>
        <v>2.9900000103532163</v>
      </c>
      <c r="K27">
        <v>9189431.3896005768</v>
      </c>
      <c r="L27">
        <v>6203040.8936599968</v>
      </c>
      <c r="M27">
        <v>16180046.125814507</v>
      </c>
      <c r="N27">
        <v>6446101.8835124187</v>
      </c>
      <c r="O27">
        <v>479803.91763134906</v>
      </c>
      <c r="P27">
        <v>13075025.007242899</v>
      </c>
      <c r="Q27">
        <v>7045401.2209507283</v>
      </c>
      <c r="R27" s="2">
        <f t="shared" si="1"/>
        <v>2.989998572333862</v>
      </c>
    </row>
    <row r="28" spans="1:18" x14ac:dyDescent="0.2">
      <c r="A28">
        <v>0</v>
      </c>
      <c r="B28">
        <v>1790976.2296972326</v>
      </c>
      <c r="C28">
        <v>3858973.2286632056</v>
      </c>
      <c r="D28">
        <v>1930550.0944629051</v>
      </c>
      <c r="E28">
        <v>486429.78031844803</v>
      </c>
      <c r="F28">
        <v>19624576.597132698</v>
      </c>
      <c r="G28">
        <v>2605362.1924238666</v>
      </c>
      <c r="H28" s="2">
        <f t="shared" si="0"/>
        <v>2.9899999452657031</v>
      </c>
      <c r="K28">
        <v>12709338.590024102</v>
      </c>
      <c r="L28">
        <v>6201025.6385477232</v>
      </c>
      <c r="M28">
        <v>17348233.394971911</v>
      </c>
      <c r="N28">
        <v>6426940.6274835337</v>
      </c>
      <c r="O28">
        <v>446485.79459168791</v>
      </c>
      <c r="P28">
        <v>11641122.036521211</v>
      </c>
      <c r="Q28">
        <v>6336790.3500720272</v>
      </c>
      <c r="R28" s="2">
        <f t="shared" si="1"/>
        <v>2.9900004862030647</v>
      </c>
    </row>
    <row r="29" spans="1:18" x14ac:dyDescent="0.2">
      <c r="A29">
        <v>0</v>
      </c>
      <c r="B29">
        <v>2821378.7458769744</v>
      </c>
      <c r="C29">
        <v>6008396.2792752124</v>
      </c>
      <c r="D29">
        <v>3060944.6501115779</v>
      </c>
      <c r="E29">
        <v>304241.8692348121</v>
      </c>
      <c r="F29">
        <v>15459254.049868947</v>
      </c>
      <c r="G29">
        <v>3846959.7663633828</v>
      </c>
      <c r="H29" s="2">
        <f t="shared" si="0"/>
        <v>2.9900005889761907</v>
      </c>
      <c r="K29">
        <v>5149810.3828432309</v>
      </c>
      <c r="L29">
        <v>6852105.6348237926</v>
      </c>
      <c r="M29">
        <v>15764285.562245043</v>
      </c>
      <c r="N29">
        <v>7265306.9627881516</v>
      </c>
      <c r="O29">
        <v>324327.19132553117</v>
      </c>
      <c r="P29">
        <v>18508616.660171043</v>
      </c>
      <c r="Q29">
        <v>7228461.8955649892</v>
      </c>
      <c r="R29" s="2">
        <f t="shared" si="1"/>
        <v>2.9899997356051862</v>
      </c>
    </row>
    <row r="30" spans="1:18" x14ac:dyDescent="0.2">
      <c r="A30">
        <v>0</v>
      </c>
      <c r="B30">
        <v>5419670.6368057365</v>
      </c>
      <c r="C30">
        <v>11188856.818532616</v>
      </c>
      <c r="D30">
        <v>5969175.476073646</v>
      </c>
      <c r="E30">
        <v>465501.70678372652</v>
      </c>
      <c r="F30">
        <v>20842588.259615202</v>
      </c>
      <c r="G30">
        <v>6024940.441679419</v>
      </c>
      <c r="H30" s="2">
        <f t="shared" si="0"/>
        <v>2.9899989104605509</v>
      </c>
      <c r="K30">
        <v>0</v>
      </c>
      <c r="L30">
        <v>10181682.949008085</v>
      </c>
      <c r="M30">
        <v>19846592.643837564</v>
      </c>
      <c r="N30">
        <v>10547816.382171895</v>
      </c>
      <c r="O30">
        <v>182822.15836595147</v>
      </c>
      <c r="P30">
        <v>24899654.854171306</v>
      </c>
      <c r="Q30">
        <v>10201924.740122423</v>
      </c>
      <c r="R30" s="2">
        <f t="shared" si="1"/>
        <v>2.9899996706082206</v>
      </c>
    </row>
    <row r="31" spans="1:18" x14ac:dyDescent="0.2">
      <c r="A31">
        <v>198792.48709414544</v>
      </c>
      <c r="B31">
        <v>832463.3426873245</v>
      </c>
      <c r="C31">
        <v>1817949.9863516868</v>
      </c>
      <c r="D31">
        <v>828485.56823337369</v>
      </c>
      <c r="E31">
        <v>118740.47580837616</v>
      </c>
      <c r="F31">
        <v>14756939.006153863</v>
      </c>
      <c r="G31">
        <v>1290182.0359849194</v>
      </c>
      <c r="H31" s="2">
        <f t="shared" si="0"/>
        <v>2.990000123070983</v>
      </c>
      <c r="K31">
        <v>3223660.3483708636</v>
      </c>
      <c r="L31">
        <v>10668168.370796636</v>
      </c>
      <c r="M31">
        <v>21924025.062138703</v>
      </c>
      <c r="N31">
        <v>10704922.298279261</v>
      </c>
      <c r="O31">
        <v>160630.00617723697</v>
      </c>
      <c r="P31">
        <v>19690998.992892116</v>
      </c>
      <c r="Q31">
        <v>11326804.908702301</v>
      </c>
      <c r="R31" s="2">
        <f t="shared" si="1"/>
        <v>2.9900010256182585</v>
      </c>
    </row>
    <row r="32" spans="1:18" x14ac:dyDescent="0.2">
      <c r="A32">
        <v>5858111.0498196464</v>
      </c>
      <c r="B32">
        <v>3413707.2340887934</v>
      </c>
      <c r="C32">
        <v>9458213.190865526</v>
      </c>
      <c r="D32">
        <v>3640025.2621929934</v>
      </c>
      <c r="E32">
        <v>279497.577456486</v>
      </c>
      <c r="F32">
        <v>16460502.3313607</v>
      </c>
      <c r="G32">
        <v>4367048.7321637264</v>
      </c>
      <c r="H32" s="2">
        <f t="shared" si="0"/>
        <v>2.9899990132821324</v>
      </c>
      <c r="K32">
        <v>8869182.5567933172</v>
      </c>
      <c r="L32">
        <v>5514380.7718852935</v>
      </c>
      <c r="M32">
        <v>14504367.552262368</v>
      </c>
      <c r="N32">
        <v>5673117.0573214535</v>
      </c>
      <c r="O32">
        <v>184275.54462196442</v>
      </c>
      <c r="P32">
        <v>9998207.9563904759</v>
      </c>
      <c r="Q32">
        <v>6129354.6887079952</v>
      </c>
      <c r="R32" s="2">
        <f t="shared" si="1"/>
        <v>2.9900001067479054</v>
      </c>
    </row>
    <row r="33" spans="11:18" x14ac:dyDescent="0.2">
      <c r="K33">
        <v>0</v>
      </c>
      <c r="L33">
        <v>6850950.3652732586</v>
      </c>
      <c r="M33">
        <v>13738349.433270736</v>
      </c>
      <c r="N33">
        <v>7167823.2694337843</v>
      </c>
      <c r="O33">
        <v>296203.92773799191</v>
      </c>
      <c r="P33">
        <v>20264898.179093111</v>
      </c>
      <c r="Q33">
        <v>7719744.4892778574</v>
      </c>
      <c r="R33" s="2">
        <f t="shared" si="1"/>
        <v>2.9899994192708039</v>
      </c>
    </row>
    <row r="34" spans="11:18" x14ac:dyDescent="0.2">
      <c r="K34">
        <v>1563491.6291829769</v>
      </c>
      <c r="L34">
        <v>7073425.244386958</v>
      </c>
      <c r="M34">
        <v>14773230.532038417</v>
      </c>
      <c r="N34">
        <v>7532567.3446400594</v>
      </c>
      <c r="O34">
        <v>223791.67013170553</v>
      </c>
      <c r="P34">
        <v>19789630.788744614</v>
      </c>
      <c r="Q34">
        <v>7442692.969672773</v>
      </c>
      <c r="R34" s="2">
        <f t="shared" si="1"/>
        <v>2.9899990962847882</v>
      </c>
    </row>
    <row r="35" spans="11:18" x14ac:dyDescent="0.2">
      <c r="K35">
        <v>0</v>
      </c>
      <c r="L35">
        <v>9493009.0024928842</v>
      </c>
      <c r="M35">
        <v>18320095.013776906</v>
      </c>
      <c r="N35">
        <v>9602941.306384068</v>
      </c>
      <c r="O35">
        <v>494268.41089978768</v>
      </c>
      <c r="P35">
        <v>24931154.586356465</v>
      </c>
      <c r="Q35">
        <v>9588802.2915288322</v>
      </c>
      <c r="R35" s="2">
        <f t="shared" si="1"/>
        <v>2.9899983345907537</v>
      </c>
    </row>
    <row r="36" spans="11:18" x14ac:dyDescent="0.2">
      <c r="K36">
        <v>63296.036621015111</v>
      </c>
      <c r="L36">
        <v>6600551.5047869952</v>
      </c>
      <c r="M36">
        <v>12734848.090721799</v>
      </c>
      <c r="N36">
        <v>6536823.9298358867</v>
      </c>
      <c r="O36">
        <v>274546.58676162869</v>
      </c>
      <c r="P36">
        <v>23595664.103984516</v>
      </c>
      <c r="Q36">
        <v>7107152.6448072372</v>
      </c>
      <c r="R36" s="2">
        <f t="shared" si="1"/>
        <v>2.9900001231213267</v>
      </c>
    </row>
    <row r="37" spans="11:18" x14ac:dyDescent="0.2">
      <c r="K37">
        <v>0</v>
      </c>
      <c r="L37">
        <v>5993051.950537445</v>
      </c>
      <c r="M37">
        <v>11682503.90476956</v>
      </c>
      <c r="N37">
        <v>6163592.0275300536</v>
      </c>
      <c r="O37">
        <v>144798.09541249665</v>
      </c>
      <c r="P37">
        <v>16545814.704393851</v>
      </c>
      <c r="Q37">
        <v>6145356.7108673099</v>
      </c>
      <c r="R37" s="2">
        <f t="shared" si="1"/>
        <v>2.9899994571322606</v>
      </c>
    </row>
    <row r="38" spans="11:18" x14ac:dyDescent="0.2">
      <c r="K38">
        <v>2704512.6903524273</v>
      </c>
      <c r="L38">
        <v>5907774.0856620576</v>
      </c>
      <c r="M38">
        <v>12768216.209750641</v>
      </c>
      <c r="N38">
        <v>6174755.3054039795</v>
      </c>
      <c r="O38">
        <v>158122.91284567711</v>
      </c>
      <c r="P38">
        <v>14129637.493319983</v>
      </c>
      <c r="Q38">
        <v>6204442.8484657649</v>
      </c>
      <c r="R38" s="2">
        <f t="shared" si="1"/>
        <v>2.9899996750173576</v>
      </c>
    </row>
    <row r="39" spans="11:18" x14ac:dyDescent="0.2">
      <c r="K39">
        <v>0</v>
      </c>
      <c r="L39">
        <v>7838445.0510538984</v>
      </c>
      <c r="M39">
        <v>14560153.39318181</v>
      </c>
      <c r="N39">
        <v>7321048.8399629388</v>
      </c>
      <c r="O39">
        <v>448518.24083506549</v>
      </c>
      <c r="P39">
        <v>20521762.147833012</v>
      </c>
      <c r="Q39">
        <v>8218825.3538702168</v>
      </c>
      <c r="R39" s="2">
        <f t="shared" si="1"/>
        <v>2.9899976551167211</v>
      </c>
    </row>
    <row r="40" spans="11:18" x14ac:dyDescent="0.2">
      <c r="K40">
        <v>0</v>
      </c>
      <c r="L40">
        <v>7998972.6815680703</v>
      </c>
      <c r="M40">
        <v>15833857.07438788</v>
      </c>
      <c r="N40">
        <v>8440253.6720313709</v>
      </c>
      <c r="O40">
        <v>223201.61906410794</v>
      </c>
      <c r="P40">
        <v>24331351.696656894</v>
      </c>
      <c r="Q40">
        <v>8212893.139435418</v>
      </c>
      <c r="R40" s="2">
        <f t="shared" si="1"/>
        <v>2.9899997981311666</v>
      </c>
    </row>
    <row r="41" spans="11:18" x14ac:dyDescent="0.2">
      <c r="K41">
        <v>1347937.8688106975</v>
      </c>
      <c r="L41">
        <v>5493741.1971533364</v>
      </c>
      <c r="M41">
        <v>11474635.184022577</v>
      </c>
      <c r="N41">
        <v>5773729.087127177</v>
      </c>
      <c r="O41">
        <v>260821.71208598322</v>
      </c>
      <c r="P41">
        <v>14255971.992032757</v>
      </c>
      <c r="Q41">
        <v>5826963.9151302762</v>
      </c>
      <c r="R41" s="2">
        <f t="shared" si="1"/>
        <v>2.9900007086289175</v>
      </c>
    </row>
    <row r="42" spans="11:18" x14ac:dyDescent="0.2">
      <c r="K42">
        <v>578748.41702613898</v>
      </c>
      <c r="L42">
        <v>5724329.5202437593</v>
      </c>
      <c r="M42">
        <v>11664066.201136818</v>
      </c>
      <c r="N42">
        <v>6015200.1207916327</v>
      </c>
      <c r="O42">
        <v>407703.45040376595</v>
      </c>
      <c r="P42">
        <v>14954353.621554773</v>
      </c>
      <c r="Q42">
        <v>6132151.7172965296</v>
      </c>
      <c r="R42" s="2">
        <f t="shared" si="1"/>
        <v>2.9899983945905166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ZONE A</vt:lpstr>
      <vt:lpstr>ZONE B</vt:lpstr>
      <vt:lpstr>ZONE C</vt:lpstr>
      <vt:lpstr>ZONE D</vt:lpstr>
      <vt:lpstr>ZONE E</vt:lpstr>
      <vt:lpstr>Visualisation des données</vt:lpstr>
      <vt:lpstr>Les informations sur les E_Ses</vt:lpstr>
      <vt:lpstr>Utilisation Solveur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Sokhna</dc:creator>
  <cp:lastModifiedBy>Microsoft Office User</cp:lastModifiedBy>
  <dcterms:created xsi:type="dcterms:W3CDTF">2020-02-19T21:19:23Z</dcterms:created>
  <dcterms:modified xsi:type="dcterms:W3CDTF">2020-02-29T00:32:03Z</dcterms:modified>
</cp:coreProperties>
</file>